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e\kotlin\CompilerTest\SSReducerData\src\"/>
    </mc:Choice>
  </mc:AlternateContent>
  <xr:revisionPtr revIDLastSave="0" documentId="13_ncr:1_{1845F4A1-EA2F-4577-859B-3B175EA936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26" i="1" l="1"/>
  <c r="X26" i="1"/>
  <c r="S26" i="1"/>
  <c r="N26" i="1"/>
  <c r="I26" i="1"/>
  <c r="C26" i="1"/>
  <c r="AB25" i="1"/>
  <c r="X25" i="1"/>
  <c r="S25" i="1"/>
  <c r="N25" i="1"/>
  <c r="I25" i="1"/>
  <c r="C25" i="1"/>
  <c r="AB24" i="1"/>
  <c r="X24" i="1"/>
  <c r="S24" i="1"/>
  <c r="N24" i="1"/>
  <c r="I24" i="1"/>
  <c r="C24" i="1"/>
  <c r="AB23" i="1"/>
  <c r="X23" i="1"/>
  <c r="S23" i="1"/>
  <c r="N23" i="1"/>
  <c r="I23" i="1"/>
  <c r="C23" i="1"/>
  <c r="AB22" i="1"/>
  <c r="X22" i="1"/>
  <c r="S22" i="1"/>
  <c r="N22" i="1"/>
  <c r="I22" i="1"/>
  <c r="C22" i="1"/>
  <c r="AB21" i="1"/>
  <c r="X21" i="1"/>
  <c r="S21" i="1"/>
  <c r="N21" i="1"/>
  <c r="I21" i="1"/>
  <c r="C21" i="1"/>
  <c r="AB20" i="1"/>
  <c r="X20" i="1"/>
  <c r="S20" i="1"/>
  <c r="N20" i="1"/>
  <c r="I20" i="1"/>
  <c r="C20" i="1"/>
  <c r="AB19" i="1"/>
  <c r="X19" i="1"/>
  <c r="S19" i="1"/>
  <c r="N19" i="1"/>
  <c r="I19" i="1"/>
  <c r="C19" i="1"/>
  <c r="AB18" i="1"/>
  <c r="X18" i="1"/>
  <c r="S18" i="1"/>
  <c r="N18" i="1"/>
  <c r="I18" i="1"/>
  <c r="C18" i="1"/>
  <c r="AB17" i="1"/>
  <c r="X17" i="1"/>
  <c r="S17" i="1"/>
  <c r="N17" i="1"/>
  <c r="I17" i="1"/>
  <c r="C17" i="1"/>
  <c r="AB16" i="1"/>
  <c r="X16" i="1"/>
  <c r="S16" i="1"/>
  <c r="N16" i="1"/>
  <c r="I16" i="1"/>
  <c r="C16" i="1"/>
  <c r="AB15" i="1"/>
  <c r="X15" i="1"/>
  <c r="S15" i="1"/>
  <c r="N15" i="1"/>
  <c r="I15" i="1"/>
  <c r="C15" i="1"/>
  <c r="AB14" i="1"/>
  <c r="X14" i="1"/>
  <c r="S14" i="1"/>
  <c r="N14" i="1"/>
  <c r="I14" i="1"/>
  <c r="C14" i="1"/>
  <c r="AB13" i="1"/>
  <c r="X13" i="1"/>
  <c r="S13" i="1"/>
  <c r="N13" i="1"/>
  <c r="I13" i="1"/>
  <c r="C13" i="1"/>
  <c r="AB12" i="1"/>
  <c r="X12" i="1"/>
  <c r="S12" i="1"/>
  <c r="N12" i="1"/>
  <c r="I12" i="1"/>
  <c r="C12" i="1"/>
  <c r="AB11" i="1"/>
  <c r="X11" i="1"/>
  <c r="S11" i="1"/>
  <c r="N11" i="1"/>
  <c r="I11" i="1"/>
  <c r="C11" i="1"/>
  <c r="AB10" i="1"/>
  <c r="X10" i="1"/>
  <c r="S10" i="1"/>
  <c r="N10" i="1"/>
  <c r="I10" i="1"/>
  <c r="C10" i="1"/>
  <c r="AB9" i="1"/>
  <c r="X9" i="1"/>
  <c r="S9" i="1"/>
  <c r="N9" i="1"/>
  <c r="I9" i="1"/>
  <c r="C9" i="1"/>
  <c r="AB8" i="1"/>
  <c r="X8" i="1"/>
  <c r="S8" i="1"/>
  <c r="N8" i="1"/>
  <c r="I8" i="1"/>
  <c r="C8" i="1"/>
  <c r="AB7" i="1"/>
  <c r="X7" i="1"/>
  <c r="S7" i="1"/>
  <c r="N7" i="1"/>
  <c r="I7" i="1"/>
  <c r="C7" i="1"/>
  <c r="AB6" i="1"/>
  <c r="X6" i="1"/>
  <c r="S6" i="1"/>
  <c r="N6" i="1"/>
  <c r="I6" i="1"/>
  <c r="C6" i="1"/>
  <c r="AB5" i="1"/>
  <c r="X5" i="1"/>
  <c r="S5" i="1"/>
  <c r="N5" i="1"/>
  <c r="I5" i="1"/>
  <c r="C5" i="1"/>
  <c r="AB4" i="1"/>
  <c r="X4" i="1"/>
  <c r="S4" i="1"/>
  <c r="N4" i="1"/>
  <c r="I4" i="1"/>
  <c r="C4" i="1"/>
  <c r="AB3" i="1"/>
  <c r="X3" i="1"/>
  <c r="S3" i="1"/>
  <c r="N3" i="1"/>
  <c r="I3" i="1"/>
  <c r="C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" authorId="0" shapeId="0" xr:uid="{E1AAAECC-17BE-48FB-AA21-6B0D78716EAD}">
      <text>
        <r>
          <rPr>
            <sz val="10"/>
            <color theme="1"/>
            <rFont val="等线"/>
            <family val="2"/>
            <scheme val="minor"/>
          </rPr>
          <t>重构次数</t>
        </r>
      </text>
    </comment>
    <comment ref="G2" authorId="0" shapeId="0" xr:uid="{A9882FF3-578F-43F8-AA73-35E5E35489C5}">
      <text>
        <r>
          <rPr>
            <sz val="10"/>
            <color theme="1"/>
            <rFont val="等线"/>
            <family val="2"/>
            <scheme val="minor"/>
          </rPr>
          <t>以秒为单位</t>
        </r>
      </text>
    </comment>
    <comment ref="K2" authorId="0" shapeId="0" xr:uid="{B0FAEB7C-AC27-465C-934E-97FA1C0735CE}">
      <text>
        <r>
          <rPr>
            <sz val="10"/>
            <color theme="1"/>
            <rFont val="等线"/>
            <family val="2"/>
            <scheme val="minor"/>
          </rPr>
          <t>重构次数</t>
        </r>
      </text>
    </comment>
    <comment ref="L2" authorId="0" shapeId="0" xr:uid="{E10F1A9C-997B-43A3-884A-23F384217E8C}">
      <text>
        <r>
          <rPr>
            <sz val="10"/>
            <color theme="1"/>
            <rFont val="等线"/>
            <family val="2"/>
            <scheme val="minor"/>
          </rPr>
          <t>以秒为单位</t>
        </r>
      </text>
    </comment>
    <comment ref="P2" authorId="0" shapeId="0" xr:uid="{3B291B4F-3D03-498E-B7B6-FAD509AD3D25}">
      <text>
        <r>
          <rPr>
            <sz val="10"/>
            <color theme="1"/>
            <rFont val="等线"/>
            <family val="2"/>
            <scheme val="minor"/>
          </rPr>
          <t>重构次数</t>
        </r>
      </text>
    </comment>
    <comment ref="Q2" authorId="0" shapeId="0" xr:uid="{8BBD3C44-0B64-4B48-A2E5-0F70F9112BAF}">
      <text>
        <r>
          <rPr>
            <sz val="10"/>
            <color theme="1"/>
            <rFont val="等线"/>
            <family val="2"/>
            <scheme val="minor"/>
          </rPr>
          <t>以秒为单位</t>
        </r>
      </text>
    </comment>
    <comment ref="U2" authorId="0" shapeId="0" xr:uid="{D784C63D-2201-4F3C-81F4-2C0C0E1C2544}">
      <text>
        <r>
          <rPr>
            <sz val="10"/>
            <color theme="1"/>
            <rFont val="等线"/>
            <family val="2"/>
            <scheme val="minor"/>
          </rPr>
          <t>重构次数</t>
        </r>
      </text>
    </comment>
    <comment ref="V2" authorId="0" shapeId="0" xr:uid="{CA33C627-14CB-4F55-919A-5547431884DF}">
      <text>
        <r>
          <rPr>
            <sz val="10"/>
            <color theme="1"/>
            <rFont val="等线"/>
            <family val="2"/>
            <scheme val="minor"/>
          </rPr>
          <t>以秒为单位</t>
        </r>
      </text>
    </comment>
    <comment ref="Z2" authorId="0" shapeId="0" xr:uid="{D9FDD3B3-60E0-4EBF-9EAD-D9084B891086}">
      <text>
        <r>
          <rPr>
            <sz val="10"/>
            <color theme="1"/>
            <rFont val="等线"/>
            <family val="2"/>
            <scheme val="minor"/>
          </rPr>
          <t>以秒为单位</t>
        </r>
      </text>
    </comment>
    <comment ref="B10" authorId="0" shapeId="0" xr:uid="{097C340E-70A0-49B2-847A-25656F745B95}">
      <text>
        <r>
          <rPr>
            <sz val="10"/>
            <color theme="1"/>
            <rFont val="等线"/>
            <family val="2"/>
            <scheme val="minor"/>
          </rPr>
          <t>二次缩减perses速度更慢</t>
        </r>
      </text>
    </comment>
    <comment ref="B23" authorId="0" shapeId="0" xr:uid="{985995D1-1A60-4ED3-B801-C93A8E006E2F}">
      <text>
        <r>
          <rPr>
            <sz val="10"/>
            <color theme="1"/>
            <rFont val="等线"/>
            <family val="2"/>
            <scheme val="minor"/>
          </rPr>
          <t>输入有三个文件，perses假定了缩减目标文件，ssreducer可以自行得到缩减目标</t>
        </r>
      </text>
    </comment>
  </commentList>
</comments>
</file>

<file path=xl/sharedStrings.xml><?xml version="1.0" encoding="utf-8"?>
<sst xmlns="http://schemas.openxmlformats.org/spreadsheetml/2006/main" count="39" uniqueCount="20">
  <si>
    <t>Compiler</t>
  </si>
  <si>
    <t>Bug Id</t>
  </si>
  <si>
    <t>Link</t>
  </si>
  <si>
    <t>Before</t>
  </si>
  <si>
    <t>S p1.0 + Latra Loop</t>
  </si>
  <si>
    <t>S p0.75 + Latra Loop</t>
  </si>
  <si>
    <t>S p0.5 + Latra Loop</t>
  </si>
  <si>
    <t>S p0.25 + Latra Loop</t>
  </si>
  <si>
    <t>S p0 + Latra Loop</t>
  </si>
  <si>
    <t>Tokens</t>
  </si>
  <si>
    <t>P</t>
  </si>
  <si>
    <t>RD</t>
  </si>
  <si>
    <t>T</t>
  </si>
  <si>
    <t>R</t>
  </si>
  <si>
    <t>S</t>
  </si>
  <si>
    <t>Clang</t>
  </si>
  <si>
    <t>Gcc</t>
  </si>
  <si>
    <t>Java-CheckFramework</t>
  </si>
  <si>
    <t>ECJ</t>
  </si>
  <si>
    <t>JDK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</si>
</sst>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u/>
      <sz val="11"/>
      <color rgb="FF1265BE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 style="thin">
        <color rgb="FF1F2329"/>
      </right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13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3" fillId="0" borderId="6" xfId="0" applyFont="1" applyBorder="1"/>
    <xf numFmtId="0" fontId="1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96"/>
  <sheetViews>
    <sheetView tabSelected="1" workbookViewId="0">
      <pane xSplit="4" ySplit="2" topLeftCell="E3" activePane="bottomRight" state="frozen"/>
      <selection pane="topRight"/>
      <selection pane="bottomLeft"/>
      <selection pane="bottomRight" activeCell="AC4" sqref="AC4"/>
    </sheetView>
  </sheetViews>
  <sheetFormatPr defaultColWidth="14" defaultRowHeight="12.75" x14ac:dyDescent="0.2"/>
  <cols>
    <col min="1" max="1" width="8" customWidth="1"/>
    <col min="2" max="2" width="9" customWidth="1"/>
    <col min="3" max="3" width="11" customWidth="1"/>
    <col min="4" max="4" width="9" customWidth="1"/>
    <col min="5" max="5" width="6" customWidth="1"/>
    <col min="6" max="6" width="7" customWidth="1"/>
    <col min="7" max="7" width="6" customWidth="1"/>
    <col min="8" max="8" width="4" customWidth="1"/>
    <col min="9" max="9" width="7" customWidth="1"/>
    <col min="10" max="10" width="6" customWidth="1"/>
    <col min="11" max="11" width="7" customWidth="1"/>
    <col min="12" max="12" width="6" customWidth="1"/>
    <col min="13" max="13" width="4" customWidth="1"/>
    <col min="14" max="14" width="7" customWidth="1"/>
    <col min="15" max="15" width="6" customWidth="1"/>
    <col min="16" max="17" width="7" customWidth="1"/>
    <col min="18" max="18" width="4" customWidth="1"/>
    <col min="19" max="19" width="7" customWidth="1"/>
    <col min="20" max="20" width="6" customWidth="1"/>
    <col min="21" max="21" width="7" customWidth="1"/>
    <col min="22" max="22" width="6" customWidth="1"/>
    <col min="23" max="23" width="4" customWidth="1"/>
    <col min="24" max="24" width="7" customWidth="1"/>
    <col min="25" max="26" width="6" customWidth="1"/>
    <col min="27" max="27" width="4" customWidth="1"/>
    <col min="28" max="28" width="7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0" t="s">
        <v>3</v>
      </c>
      <c r="E1" s="11" t="s">
        <v>4</v>
      </c>
      <c r="F1" s="11"/>
      <c r="G1" s="11"/>
      <c r="H1" s="11"/>
      <c r="I1" s="12"/>
      <c r="J1" s="11" t="s">
        <v>5</v>
      </c>
      <c r="K1" s="11"/>
      <c r="L1" s="11"/>
      <c r="M1" s="11"/>
      <c r="N1" s="11"/>
      <c r="O1" s="11" t="s">
        <v>6</v>
      </c>
      <c r="P1" s="11"/>
      <c r="Q1" s="11"/>
      <c r="R1" s="11"/>
      <c r="S1" s="11"/>
      <c r="T1" s="11" t="s">
        <v>7</v>
      </c>
      <c r="U1" s="11"/>
      <c r="V1" s="11"/>
      <c r="W1" s="11"/>
      <c r="X1" s="11"/>
      <c r="Y1" s="11" t="s">
        <v>8</v>
      </c>
      <c r="Z1" s="11"/>
      <c r="AA1" s="11"/>
      <c r="AB1" s="11"/>
    </row>
    <row r="2" spans="1:28" x14ac:dyDescent="0.2">
      <c r="A2" s="1"/>
      <c r="B2" s="1"/>
      <c r="C2" s="1"/>
      <c r="D2" s="3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5" t="s">
        <v>14</v>
      </c>
      <c r="J2" s="1" t="s">
        <v>10</v>
      </c>
      <c r="K2" s="1" t="s">
        <v>11</v>
      </c>
      <c r="L2" s="1" t="s">
        <v>12</v>
      </c>
      <c r="M2" s="1" t="s">
        <v>13</v>
      </c>
      <c r="N2" s="5" t="s">
        <v>14</v>
      </c>
      <c r="O2" s="1" t="s">
        <v>10</v>
      </c>
      <c r="P2" s="1" t="s">
        <v>11</v>
      </c>
      <c r="Q2" s="1" t="s">
        <v>12</v>
      </c>
      <c r="R2" s="1" t="s">
        <v>13</v>
      </c>
      <c r="S2" s="5" t="s">
        <v>14</v>
      </c>
      <c r="T2" s="1" t="s">
        <v>10</v>
      </c>
      <c r="U2" s="1" t="s">
        <v>11</v>
      </c>
      <c r="V2" s="1" t="s">
        <v>12</v>
      </c>
      <c r="W2" s="1" t="s">
        <v>13</v>
      </c>
      <c r="X2" s="5" t="s">
        <v>14</v>
      </c>
      <c r="Y2" s="1" t="s">
        <v>10</v>
      </c>
      <c r="Z2" s="1" t="s">
        <v>12</v>
      </c>
      <c r="AA2" s="1" t="s">
        <v>13</v>
      </c>
      <c r="AB2" s="5" t="s">
        <v>14</v>
      </c>
    </row>
    <row r="3" spans="1:28" ht="14.25" x14ac:dyDescent="0.2">
      <c r="A3" s="1" t="s">
        <v>15</v>
      </c>
      <c r="B3" s="1">
        <v>22382</v>
      </c>
      <c r="C3" s="6" t="str">
        <f t="shared" ref="C3:C8" si="0">HYPERLINK("https://bugs.llvm.org/show_bug.cgi?id=" &amp; B3, "clang-" &amp; B3)</f>
        <v>clang-22382</v>
      </c>
      <c r="D3" s="3">
        <v>21068</v>
      </c>
      <c r="E3" s="4">
        <v>3038</v>
      </c>
      <c r="F3" s="4">
        <v>30095</v>
      </c>
      <c r="G3" s="4">
        <v>101</v>
      </c>
      <c r="H3" s="4">
        <v>77</v>
      </c>
      <c r="I3" s="5">
        <f t="shared" ref="I3:I26" si="1">ROUND(($D3 - H3)/G3, 2)</f>
        <v>207.83</v>
      </c>
      <c r="J3" s="4">
        <v>5611</v>
      </c>
      <c r="K3" s="4">
        <v>39975</v>
      </c>
      <c r="L3" s="4">
        <v>138</v>
      </c>
      <c r="M3" s="4">
        <v>94</v>
      </c>
      <c r="N3" s="5">
        <f t="shared" ref="N3:N26" si="2">ROUND(($D3 - M3)/L3, 2)</f>
        <v>151.99</v>
      </c>
      <c r="O3" s="4">
        <v>6165</v>
      </c>
      <c r="P3" s="4">
        <v>31525</v>
      </c>
      <c r="Q3" s="4">
        <v>148</v>
      </c>
      <c r="R3" s="4">
        <v>75</v>
      </c>
      <c r="S3" s="5">
        <f t="shared" ref="S3:S26" si="3">ROUND(($D3 - R3)/Q3, 2)</f>
        <v>141.84</v>
      </c>
      <c r="T3" s="4">
        <v>6061</v>
      </c>
      <c r="U3" s="4">
        <v>22104</v>
      </c>
      <c r="V3" s="4">
        <v>142</v>
      </c>
      <c r="W3" s="4">
        <v>75</v>
      </c>
      <c r="X3" s="5">
        <f t="shared" ref="X3:X26" si="4">ROUND(($D3 - W3)/V3, 2)</f>
        <v>147.84</v>
      </c>
      <c r="Y3" s="4">
        <v>12020</v>
      </c>
      <c r="Z3" s="4">
        <v>216</v>
      </c>
      <c r="AA3" s="4">
        <v>84</v>
      </c>
      <c r="AB3" s="5">
        <f t="shared" ref="AB3:AB26" si="5">ROUND(($D3 - AA3)/Z3, 2)</f>
        <v>97.15</v>
      </c>
    </row>
    <row r="4" spans="1:28" ht="14.25" x14ac:dyDescent="0.2">
      <c r="A4" s="1"/>
      <c r="B4" s="1">
        <v>22704</v>
      </c>
      <c r="C4" s="6" t="str">
        <f t="shared" si="0"/>
        <v>clang-22704</v>
      </c>
      <c r="D4" s="3">
        <v>93032</v>
      </c>
      <c r="E4" s="4">
        <v>2663</v>
      </c>
      <c r="F4" s="4">
        <v>151485</v>
      </c>
      <c r="G4">
        <v>125</v>
      </c>
      <c r="H4" s="4">
        <v>49</v>
      </c>
      <c r="I4" s="5">
        <f t="shared" si="1"/>
        <v>743.86</v>
      </c>
      <c r="J4" s="4">
        <v>10288</v>
      </c>
      <c r="K4" s="4">
        <v>303744</v>
      </c>
      <c r="L4" s="4">
        <v>513</v>
      </c>
      <c r="M4" s="4">
        <v>78</v>
      </c>
      <c r="N4" s="5">
        <f t="shared" si="2"/>
        <v>181.2</v>
      </c>
      <c r="O4" s="4">
        <v>8659</v>
      </c>
      <c r="P4" s="4">
        <v>175374</v>
      </c>
      <c r="Q4" s="4">
        <v>395</v>
      </c>
      <c r="R4" s="4">
        <v>50</v>
      </c>
      <c r="S4" s="5">
        <f t="shared" si="3"/>
        <v>235.4</v>
      </c>
      <c r="T4" s="4">
        <v>10365</v>
      </c>
      <c r="U4" s="4">
        <v>106286</v>
      </c>
      <c r="V4" s="4">
        <v>509</v>
      </c>
      <c r="W4" s="4">
        <v>66</v>
      </c>
      <c r="X4" s="5">
        <f t="shared" si="4"/>
        <v>182.64</v>
      </c>
      <c r="Y4" s="4">
        <v>16521</v>
      </c>
      <c r="Z4" s="4">
        <v>693</v>
      </c>
      <c r="AA4" s="4">
        <v>76</v>
      </c>
      <c r="AB4" s="5">
        <f t="shared" si="5"/>
        <v>134.13999999999999</v>
      </c>
    </row>
    <row r="5" spans="1:28" ht="14.25" x14ac:dyDescent="0.2">
      <c r="A5" s="1"/>
      <c r="B5" s="1">
        <v>23353</v>
      </c>
      <c r="C5" s="6" t="str">
        <f t="shared" si="0"/>
        <v>clang-23353</v>
      </c>
      <c r="D5" s="3">
        <v>30196</v>
      </c>
      <c r="E5" s="4">
        <v>3731</v>
      </c>
      <c r="F5" s="4">
        <v>37052</v>
      </c>
      <c r="G5" s="4">
        <v>246</v>
      </c>
      <c r="H5">
        <v>65</v>
      </c>
      <c r="I5" s="5">
        <f t="shared" si="1"/>
        <v>122.48</v>
      </c>
      <c r="J5" s="4">
        <v>7067</v>
      </c>
      <c r="K5" s="4">
        <v>75475</v>
      </c>
      <c r="L5" s="4">
        <v>293</v>
      </c>
      <c r="M5" s="4">
        <v>109</v>
      </c>
      <c r="N5" s="5">
        <f t="shared" si="2"/>
        <v>102.69</v>
      </c>
      <c r="O5" s="4">
        <v>9727</v>
      </c>
      <c r="P5" s="4">
        <v>67367</v>
      </c>
      <c r="Q5" s="4">
        <v>369</v>
      </c>
      <c r="R5" s="4">
        <v>64</v>
      </c>
      <c r="S5" s="5">
        <f t="shared" si="3"/>
        <v>81.66</v>
      </c>
      <c r="T5" s="4">
        <v>14209</v>
      </c>
      <c r="U5" s="4">
        <v>74848</v>
      </c>
      <c r="V5" s="4">
        <v>522</v>
      </c>
      <c r="W5" s="4">
        <v>64</v>
      </c>
      <c r="X5" s="5">
        <f t="shared" si="4"/>
        <v>57.72</v>
      </c>
      <c r="Y5" s="4">
        <v>24736</v>
      </c>
      <c r="Z5" s="4">
        <v>668</v>
      </c>
      <c r="AA5" s="4">
        <v>64</v>
      </c>
      <c r="AB5" s="5">
        <f t="shared" si="5"/>
        <v>45.11</v>
      </c>
    </row>
    <row r="6" spans="1:28" ht="14.25" x14ac:dyDescent="0.2">
      <c r="A6" s="1"/>
      <c r="B6" s="1">
        <v>25900</v>
      </c>
      <c r="C6" s="6" t="str">
        <f t="shared" si="0"/>
        <v>clang-25900</v>
      </c>
      <c r="D6" s="3">
        <v>78960</v>
      </c>
      <c r="E6" s="4">
        <v>4447</v>
      </c>
      <c r="F6" s="4">
        <v>167551</v>
      </c>
      <c r="G6" s="4">
        <v>373</v>
      </c>
      <c r="H6" s="4">
        <v>127</v>
      </c>
      <c r="I6" s="5">
        <f t="shared" si="1"/>
        <v>211.35</v>
      </c>
      <c r="J6" s="4">
        <v>11815</v>
      </c>
      <c r="K6" s="4">
        <v>408547</v>
      </c>
      <c r="L6" s="4">
        <v>739</v>
      </c>
      <c r="M6" s="4">
        <v>122</v>
      </c>
      <c r="N6" s="5">
        <f t="shared" si="2"/>
        <v>106.68</v>
      </c>
      <c r="O6" s="4">
        <v>12675</v>
      </c>
      <c r="P6" s="4">
        <v>253743</v>
      </c>
      <c r="Q6" s="4">
        <v>829</v>
      </c>
      <c r="R6" s="4">
        <v>80</v>
      </c>
      <c r="S6" s="5">
        <f t="shared" si="3"/>
        <v>95.15</v>
      </c>
      <c r="T6" s="4">
        <v>19974</v>
      </c>
      <c r="U6" s="4">
        <v>209024</v>
      </c>
      <c r="V6" s="4">
        <v>1220</v>
      </c>
      <c r="W6" s="4">
        <v>106</v>
      </c>
      <c r="X6" s="5">
        <f t="shared" si="4"/>
        <v>64.63</v>
      </c>
      <c r="Y6" s="4">
        <v>10776</v>
      </c>
      <c r="Z6" s="4">
        <v>593</v>
      </c>
      <c r="AA6" s="4">
        <v>90</v>
      </c>
      <c r="AB6" s="5">
        <f t="shared" si="5"/>
        <v>133</v>
      </c>
    </row>
    <row r="7" spans="1:28" ht="14.25" x14ac:dyDescent="0.2">
      <c r="A7" s="1"/>
      <c r="B7" s="1">
        <v>26760</v>
      </c>
      <c r="C7" s="6" t="str">
        <f t="shared" si="0"/>
        <v>clang-26760</v>
      </c>
      <c r="D7" s="3">
        <v>32958</v>
      </c>
      <c r="E7" s="4">
        <v>2912</v>
      </c>
      <c r="F7" s="4">
        <v>45173</v>
      </c>
      <c r="G7" s="4">
        <v>184</v>
      </c>
      <c r="H7" s="4">
        <v>59</v>
      </c>
      <c r="I7" s="5">
        <f t="shared" si="1"/>
        <v>178.8</v>
      </c>
      <c r="J7" s="4">
        <v>10906</v>
      </c>
      <c r="K7" s="4">
        <v>97765</v>
      </c>
      <c r="L7" s="4">
        <v>444</v>
      </c>
      <c r="M7" s="4">
        <v>113</v>
      </c>
      <c r="N7" s="5">
        <f t="shared" si="2"/>
        <v>73.98</v>
      </c>
      <c r="O7" s="4">
        <v>8462</v>
      </c>
      <c r="P7" s="4">
        <v>68107</v>
      </c>
      <c r="Q7" s="4">
        <v>325</v>
      </c>
      <c r="R7" s="4">
        <v>103</v>
      </c>
      <c r="S7" s="5">
        <f t="shared" si="3"/>
        <v>101.09</v>
      </c>
      <c r="T7" s="4">
        <v>9852</v>
      </c>
      <c r="U7" s="4">
        <v>43243</v>
      </c>
      <c r="V7" s="4">
        <v>345</v>
      </c>
      <c r="W7" s="4">
        <v>104</v>
      </c>
      <c r="X7" s="5">
        <f t="shared" si="4"/>
        <v>95.23</v>
      </c>
      <c r="Y7" s="4">
        <v>11095</v>
      </c>
      <c r="Z7" s="4">
        <v>353</v>
      </c>
      <c r="AA7" s="4">
        <v>95</v>
      </c>
      <c r="AB7" s="5">
        <f t="shared" si="5"/>
        <v>93.1</v>
      </c>
    </row>
    <row r="8" spans="1:28" ht="14.25" x14ac:dyDescent="0.2">
      <c r="A8" s="9"/>
      <c r="B8" s="9">
        <v>27747</v>
      </c>
      <c r="C8" s="6" t="str">
        <f t="shared" si="0"/>
        <v>clang-27747</v>
      </c>
      <c r="D8" s="7">
        <v>19915</v>
      </c>
      <c r="E8" s="8">
        <v>2314</v>
      </c>
      <c r="F8" s="8">
        <v>69109</v>
      </c>
      <c r="G8" s="8">
        <v>116</v>
      </c>
      <c r="H8" s="8">
        <v>108</v>
      </c>
      <c r="I8" s="5">
        <f t="shared" si="1"/>
        <v>170.75</v>
      </c>
      <c r="J8" s="8">
        <v>3811</v>
      </c>
      <c r="K8" s="8">
        <v>46757</v>
      </c>
      <c r="L8" s="8">
        <v>155</v>
      </c>
      <c r="M8" s="8">
        <v>107</v>
      </c>
      <c r="N8" s="5">
        <f t="shared" si="2"/>
        <v>127.79</v>
      </c>
      <c r="O8" s="8">
        <v>4325</v>
      </c>
      <c r="P8" s="8">
        <v>52863</v>
      </c>
      <c r="Q8" s="8">
        <v>172</v>
      </c>
      <c r="R8" s="8">
        <v>105</v>
      </c>
      <c r="S8" s="5">
        <f t="shared" si="3"/>
        <v>115.17</v>
      </c>
      <c r="T8" s="8">
        <v>4904</v>
      </c>
      <c r="U8" s="8">
        <v>30347</v>
      </c>
      <c r="V8" s="8">
        <v>168</v>
      </c>
      <c r="W8" s="8">
        <v>107</v>
      </c>
      <c r="X8" s="5">
        <f t="shared" si="4"/>
        <v>117.9</v>
      </c>
      <c r="Y8" s="8">
        <v>5539</v>
      </c>
      <c r="Z8" s="8">
        <v>186</v>
      </c>
      <c r="AA8" s="8">
        <v>107</v>
      </c>
      <c r="AB8" s="5">
        <f t="shared" si="5"/>
        <v>106.49</v>
      </c>
    </row>
    <row r="9" spans="1:28" ht="14.25" x14ac:dyDescent="0.2">
      <c r="A9" s="1" t="s">
        <v>16</v>
      </c>
      <c r="B9" s="1">
        <v>59903</v>
      </c>
      <c r="C9" s="6" t="str">
        <f t="shared" ref="C9:C18" si="6">HYPERLINK("https://gcc.gnu.org/bugzilla/show_bug.cgi?id=" &amp; B9, "gcc-" &amp; B9)</f>
        <v>gcc-59903</v>
      </c>
      <c r="D9" s="3">
        <v>57581</v>
      </c>
      <c r="E9" s="4">
        <v>7485</v>
      </c>
      <c r="F9" s="4">
        <v>108581</v>
      </c>
      <c r="G9" s="4">
        <v>556</v>
      </c>
      <c r="H9" s="4">
        <v>254</v>
      </c>
      <c r="I9" s="5">
        <f t="shared" si="1"/>
        <v>103.11</v>
      </c>
      <c r="J9" s="4">
        <v>19238</v>
      </c>
      <c r="K9" s="4">
        <v>169410</v>
      </c>
      <c r="L9" s="4">
        <v>1474</v>
      </c>
      <c r="M9" s="4">
        <v>257</v>
      </c>
      <c r="N9" s="5">
        <f t="shared" si="2"/>
        <v>38.89</v>
      </c>
      <c r="O9" s="4">
        <v>17124</v>
      </c>
      <c r="P9" s="4">
        <v>116571</v>
      </c>
      <c r="Q9" s="4">
        <v>1843</v>
      </c>
      <c r="R9" s="4">
        <v>333</v>
      </c>
      <c r="S9" s="5">
        <f t="shared" si="3"/>
        <v>31.06</v>
      </c>
      <c r="T9" s="4">
        <v>16462</v>
      </c>
      <c r="U9" s="4">
        <v>54683</v>
      </c>
      <c r="V9" s="4">
        <v>1028</v>
      </c>
      <c r="W9" s="4">
        <v>144</v>
      </c>
      <c r="X9" s="5">
        <f t="shared" si="4"/>
        <v>55.87</v>
      </c>
      <c r="Y9" s="4">
        <v>34866</v>
      </c>
      <c r="Z9" s="4">
        <v>1701</v>
      </c>
      <c r="AA9" s="4">
        <v>326</v>
      </c>
      <c r="AB9" s="5">
        <f t="shared" si="5"/>
        <v>33.659999999999997</v>
      </c>
    </row>
    <row r="10" spans="1:28" ht="14.25" x14ac:dyDescent="0.2">
      <c r="A10" s="1"/>
      <c r="B10" s="1">
        <v>60116</v>
      </c>
      <c r="C10" s="6" t="str">
        <f t="shared" si="6"/>
        <v>gcc-60116</v>
      </c>
      <c r="D10" s="3">
        <v>75224</v>
      </c>
      <c r="E10" s="4">
        <v>20946</v>
      </c>
      <c r="F10" s="4">
        <v>125063</v>
      </c>
      <c r="G10" s="4">
        <v>3476</v>
      </c>
      <c r="H10" s="4">
        <v>258</v>
      </c>
      <c r="I10" s="5">
        <f t="shared" si="1"/>
        <v>21.57</v>
      </c>
      <c r="J10" s="4">
        <v>28993</v>
      </c>
      <c r="K10" s="4">
        <v>221172</v>
      </c>
      <c r="L10" s="4">
        <v>3794</v>
      </c>
      <c r="M10" s="4">
        <v>207</v>
      </c>
      <c r="N10" s="5">
        <f t="shared" si="2"/>
        <v>19.77</v>
      </c>
      <c r="O10" s="4">
        <v>31653</v>
      </c>
      <c r="P10" s="4">
        <v>128080</v>
      </c>
      <c r="Q10" s="4">
        <v>4001</v>
      </c>
      <c r="R10" s="4">
        <v>220</v>
      </c>
      <c r="S10" s="5">
        <f t="shared" si="3"/>
        <v>18.75</v>
      </c>
      <c r="T10" s="4">
        <v>39162</v>
      </c>
      <c r="U10" s="4">
        <v>105726</v>
      </c>
      <c r="V10" s="4">
        <v>4611</v>
      </c>
      <c r="W10" s="4">
        <v>202</v>
      </c>
      <c r="X10" s="5">
        <f t="shared" si="4"/>
        <v>16.27</v>
      </c>
      <c r="Y10" s="4">
        <v>49544</v>
      </c>
      <c r="Z10" s="4">
        <v>5171</v>
      </c>
      <c r="AA10" s="4">
        <v>251</v>
      </c>
      <c r="AB10" s="5">
        <f t="shared" si="5"/>
        <v>14.5</v>
      </c>
    </row>
    <row r="11" spans="1:28" ht="14.25" x14ac:dyDescent="0.2">
      <c r="A11" s="1"/>
      <c r="B11" s="1">
        <v>61383</v>
      </c>
      <c r="C11" s="6" t="str">
        <f t="shared" si="6"/>
        <v>gcc-61383</v>
      </c>
      <c r="D11" s="3">
        <v>32449</v>
      </c>
      <c r="E11" s="4">
        <v>14610</v>
      </c>
      <c r="F11" s="4">
        <v>132344</v>
      </c>
      <c r="G11" s="4">
        <v>6478</v>
      </c>
      <c r="H11" s="4">
        <v>231</v>
      </c>
      <c r="I11" s="5">
        <f t="shared" si="1"/>
        <v>4.97</v>
      </c>
      <c r="J11" s="4">
        <v>31474</v>
      </c>
      <c r="K11" s="4">
        <v>324574</v>
      </c>
      <c r="L11" s="4">
        <v>8341</v>
      </c>
      <c r="M11" s="4">
        <v>208</v>
      </c>
      <c r="N11" s="5">
        <f t="shared" si="2"/>
        <v>3.87</v>
      </c>
      <c r="O11" s="4">
        <v>26291</v>
      </c>
      <c r="P11" s="4">
        <v>222743</v>
      </c>
      <c r="Q11" s="4">
        <v>4985</v>
      </c>
      <c r="R11" s="4">
        <v>204</v>
      </c>
      <c r="S11" s="5">
        <f t="shared" si="3"/>
        <v>6.47</v>
      </c>
      <c r="T11" s="4">
        <v>40563</v>
      </c>
      <c r="U11" s="4">
        <v>161442</v>
      </c>
      <c r="V11" s="4">
        <v>10048</v>
      </c>
      <c r="W11" s="4">
        <v>229</v>
      </c>
      <c r="X11" s="5">
        <f t="shared" si="4"/>
        <v>3.21</v>
      </c>
      <c r="Y11" s="4">
        <v>55211</v>
      </c>
      <c r="Z11" s="4">
        <v>8169</v>
      </c>
      <c r="AA11" s="4">
        <v>188</v>
      </c>
      <c r="AB11" s="5">
        <f t="shared" si="5"/>
        <v>3.95</v>
      </c>
    </row>
    <row r="12" spans="1:28" ht="14.25" x14ac:dyDescent="0.2">
      <c r="A12" s="1"/>
      <c r="B12" s="1">
        <v>61917</v>
      </c>
      <c r="C12" s="6" t="str">
        <f t="shared" si="6"/>
        <v>gcc-61917</v>
      </c>
      <c r="D12" s="3">
        <v>85359</v>
      </c>
      <c r="E12" s="4">
        <v>8513</v>
      </c>
      <c r="F12" s="4">
        <v>219988</v>
      </c>
      <c r="G12" s="4">
        <v>1857</v>
      </c>
      <c r="H12" s="4">
        <v>80</v>
      </c>
      <c r="I12" s="5">
        <f t="shared" si="1"/>
        <v>45.92</v>
      </c>
      <c r="J12" s="4">
        <v>22412</v>
      </c>
      <c r="K12" s="4">
        <v>434094</v>
      </c>
      <c r="L12" s="4">
        <v>3290</v>
      </c>
      <c r="M12" s="4">
        <v>80</v>
      </c>
      <c r="N12" s="5">
        <f t="shared" si="2"/>
        <v>25.92</v>
      </c>
      <c r="O12" s="4">
        <v>23814</v>
      </c>
      <c r="P12" s="4">
        <v>283892</v>
      </c>
      <c r="Q12" s="4">
        <v>4819</v>
      </c>
      <c r="R12" s="4">
        <v>80</v>
      </c>
      <c r="S12" s="5">
        <f t="shared" si="3"/>
        <v>17.7</v>
      </c>
      <c r="T12" s="4">
        <v>30019</v>
      </c>
      <c r="U12" s="4">
        <v>196874</v>
      </c>
      <c r="V12" s="4">
        <v>5902</v>
      </c>
      <c r="W12" s="4">
        <v>61</v>
      </c>
      <c r="X12" s="5">
        <f t="shared" si="4"/>
        <v>14.45</v>
      </c>
      <c r="Y12" s="4">
        <v>47374</v>
      </c>
      <c r="Z12" s="4">
        <v>7795</v>
      </c>
      <c r="AA12" s="4">
        <v>87</v>
      </c>
      <c r="AB12" s="5">
        <f t="shared" si="5"/>
        <v>10.94</v>
      </c>
    </row>
    <row r="13" spans="1:28" ht="14.25" x14ac:dyDescent="0.2">
      <c r="A13" s="1"/>
      <c r="B13" s="1">
        <v>64990</v>
      </c>
      <c r="C13" s="6" t="str">
        <f t="shared" si="6"/>
        <v>gcc-64990</v>
      </c>
      <c r="D13" s="3">
        <v>16623</v>
      </c>
      <c r="E13" s="4">
        <v>7017</v>
      </c>
      <c r="F13" s="4">
        <v>27255</v>
      </c>
      <c r="G13" s="4">
        <v>2856</v>
      </c>
      <c r="H13" s="4">
        <v>95</v>
      </c>
      <c r="I13" s="5">
        <f t="shared" si="1"/>
        <v>5.79</v>
      </c>
      <c r="J13" s="4">
        <v>11480</v>
      </c>
      <c r="K13" s="4">
        <v>55410</v>
      </c>
      <c r="L13" s="4">
        <v>2427</v>
      </c>
      <c r="M13" s="4">
        <v>85</v>
      </c>
      <c r="N13" s="5">
        <f t="shared" si="2"/>
        <v>6.81</v>
      </c>
      <c r="O13" s="4">
        <v>12237</v>
      </c>
      <c r="P13" s="4">
        <v>26812</v>
      </c>
      <c r="Q13" s="4">
        <v>3775</v>
      </c>
      <c r="R13" s="4">
        <v>62</v>
      </c>
      <c r="S13" s="5">
        <f t="shared" si="3"/>
        <v>4.3899999999999997</v>
      </c>
      <c r="T13" s="4">
        <v>14962</v>
      </c>
      <c r="U13" s="4">
        <v>34937</v>
      </c>
      <c r="V13" s="4">
        <v>2942</v>
      </c>
      <c r="W13" s="4">
        <v>92</v>
      </c>
      <c r="X13" s="5">
        <f t="shared" si="4"/>
        <v>5.62</v>
      </c>
      <c r="Y13" s="4">
        <v>23141</v>
      </c>
      <c r="Z13" s="4">
        <v>4792</v>
      </c>
      <c r="AA13" s="4">
        <v>66</v>
      </c>
      <c r="AB13" s="5">
        <f t="shared" si="5"/>
        <v>3.46</v>
      </c>
    </row>
    <row r="14" spans="1:28" ht="14.25" x14ac:dyDescent="0.2">
      <c r="A14" s="1"/>
      <c r="B14" s="1">
        <v>65383</v>
      </c>
      <c r="C14" s="6" t="str">
        <f t="shared" si="6"/>
        <v>gcc-65383</v>
      </c>
      <c r="D14" s="3">
        <v>43942</v>
      </c>
      <c r="E14" s="4">
        <v>9861</v>
      </c>
      <c r="F14" s="4">
        <v>88483</v>
      </c>
      <c r="G14" s="4">
        <v>2908</v>
      </c>
      <c r="H14" s="4">
        <v>83</v>
      </c>
      <c r="I14" s="5">
        <f t="shared" si="1"/>
        <v>15.08</v>
      </c>
      <c r="J14" s="4">
        <v>18228</v>
      </c>
      <c r="K14" s="4">
        <v>111731</v>
      </c>
      <c r="L14" s="4">
        <v>3370</v>
      </c>
      <c r="M14" s="4">
        <v>110</v>
      </c>
      <c r="N14" s="5">
        <f t="shared" si="2"/>
        <v>13.01</v>
      </c>
      <c r="O14" s="4">
        <v>17161</v>
      </c>
      <c r="P14" s="4">
        <v>83348</v>
      </c>
      <c r="Q14" s="4">
        <v>3235</v>
      </c>
      <c r="R14" s="4">
        <v>93</v>
      </c>
      <c r="S14" s="5">
        <f t="shared" si="3"/>
        <v>13.55</v>
      </c>
      <c r="T14" s="4">
        <v>26046</v>
      </c>
      <c r="U14" s="4">
        <v>61269</v>
      </c>
      <c r="V14" s="4">
        <v>6944</v>
      </c>
      <c r="W14" s="4">
        <v>68</v>
      </c>
      <c r="X14" s="5">
        <f t="shared" si="4"/>
        <v>6.32</v>
      </c>
      <c r="Y14" s="4">
        <v>36998</v>
      </c>
      <c r="Z14" s="4">
        <v>5174</v>
      </c>
      <c r="AA14" s="4">
        <v>93</v>
      </c>
      <c r="AB14" s="5">
        <f t="shared" si="5"/>
        <v>8.4700000000000006</v>
      </c>
    </row>
    <row r="15" spans="1:28" ht="14.25" x14ac:dyDescent="0.2">
      <c r="A15" s="1"/>
      <c r="B15" s="1">
        <v>66186</v>
      </c>
      <c r="C15" s="6" t="str">
        <f t="shared" si="6"/>
        <v>gcc-66186</v>
      </c>
      <c r="D15" s="3">
        <v>47481</v>
      </c>
      <c r="E15" s="4">
        <v>6358</v>
      </c>
      <c r="F15" s="4">
        <v>46600</v>
      </c>
      <c r="G15" s="4">
        <v>3050</v>
      </c>
      <c r="H15" s="4">
        <v>146</v>
      </c>
      <c r="I15" s="5">
        <f t="shared" si="1"/>
        <v>15.52</v>
      </c>
      <c r="J15" s="4">
        <v>12718</v>
      </c>
      <c r="K15" s="4">
        <v>115013</v>
      </c>
      <c r="L15" s="4">
        <v>2691</v>
      </c>
      <c r="M15" s="4">
        <v>150</v>
      </c>
      <c r="N15" s="5">
        <f t="shared" si="2"/>
        <v>17.59</v>
      </c>
      <c r="O15" s="4">
        <v>16438</v>
      </c>
      <c r="P15" s="4">
        <v>87537</v>
      </c>
      <c r="Q15" s="4">
        <v>3782</v>
      </c>
      <c r="R15" s="4">
        <v>150</v>
      </c>
      <c r="S15" s="5">
        <f t="shared" si="3"/>
        <v>12.51</v>
      </c>
      <c r="T15" s="4">
        <v>20126</v>
      </c>
      <c r="U15" s="4">
        <v>64881</v>
      </c>
      <c r="V15" s="4">
        <v>3048</v>
      </c>
      <c r="W15" s="4">
        <v>150</v>
      </c>
      <c r="X15" s="5">
        <f t="shared" si="4"/>
        <v>15.53</v>
      </c>
      <c r="Y15" s="4">
        <v>32291</v>
      </c>
      <c r="Z15" s="4">
        <v>3725</v>
      </c>
      <c r="AA15" s="4">
        <v>188</v>
      </c>
      <c r="AB15" s="5">
        <f t="shared" si="5"/>
        <v>12.7</v>
      </c>
    </row>
    <row r="16" spans="1:28" ht="14.25" x14ac:dyDescent="0.2">
      <c r="A16" s="1"/>
      <c r="B16" s="1">
        <v>70127</v>
      </c>
      <c r="C16" s="6" t="str">
        <f t="shared" si="6"/>
        <v>gcc-70127</v>
      </c>
      <c r="D16" s="3">
        <v>12358</v>
      </c>
      <c r="E16" s="4">
        <v>4860</v>
      </c>
      <c r="F16" s="4">
        <v>24750</v>
      </c>
      <c r="G16" s="4">
        <v>6436</v>
      </c>
      <c r="H16" s="4">
        <v>128</v>
      </c>
      <c r="I16" s="5">
        <f t="shared" si="1"/>
        <v>1.9</v>
      </c>
      <c r="J16" s="4">
        <v>13750</v>
      </c>
      <c r="K16" s="4">
        <v>133263</v>
      </c>
      <c r="L16" s="4">
        <v>10408</v>
      </c>
      <c r="M16" s="4">
        <v>128</v>
      </c>
      <c r="N16" s="5">
        <f t="shared" si="2"/>
        <v>1.18</v>
      </c>
      <c r="O16" s="4">
        <v>11604</v>
      </c>
      <c r="P16" s="4">
        <v>55985</v>
      </c>
      <c r="Q16" s="4">
        <v>10128</v>
      </c>
      <c r="R16" s="4">
        <v>128</v>
      </c>
      <c r="S16" s="5">
        <f t="shared" si="3"/>
        <v>1.21</v>
      </c>
      <c r="T16" s="4">
        <v>12128</v>
      </c>
      <c r="U16" s="4">
        <v>35525</v>
      </c>
      <c r="V16" s="4">
        <v>7089</v>
      </c>
      <c r="W16" s="4">
        <v>158</v>
      </c>
      <c r="X16" s="5">
        <f t="shared" si="4"/>
        <v>1.72</v>
      </c>
      <c r="Y16" s="4">
        <v>20572</v>
      </c>
      <c r="Z16" s="4">
        <v>10472</v>
      </c>
      <c r="AA16" s="4">
        <v>120</v>
      </c>
      <c r="AB16" s="5">
        <f t="shared" si="5"/>
        <v>1.17</v>
      </c>
    </row>
    <row r="17" spans="1:28" ht="14.25" x14ac:dyDescent="0.2">
      <c r="A17" s="1"/>
      <c r="B17" s="1">
        <v>70586</v>
      </c>
      <c r="C17" s="6" t="str">
        <f t="shared" si="6"/>
        <v>gcc-70586</v>
      </c>
      <c r="D17" s="3">
        <v>14626</v>
      </c>
      <c r="E17" s="4">
        <v>20201</v>
      </c>
      <c r="F17" s="4">
        <v>42129</v>
      </c>
      <c r="G17" s="4">
        <v>14308</v>
      </c>
      <c r="H17" s="4">
        <v>272</v>
      </c>
      <c r="I17" s="5">
        <f t="shared" si="1"/>
        <v>1</v>
      </c>
      <c r="J17" s="4">
        <v>29478</v>
      </c>
      <c r="K17" s="4">
        <v>48071</v>
      </c>
      <c r="L17" s="4">
        <v>10876</v>
      </c>
      <c r="M17" s="4">
        <v>293</v>
      </c>
      <c r="N17" s="5">
        <f t="shared" si="2"/>
        <v>1.32</v>
      </c>
      <c r="O17" s="4">
        <v>25231</v>
      </c>
      <c r="P17" s="4">
        <v>42360</v>
      </c>
      <c r="Q17" s="4">
        <v>8207</v>
      </c>
      <c r="R17" s="4">
        <v>280</v>
      </c>
      <c r="S17" s="5">
        <f t="shared" si="3"/>
        <v>1.75</v>
      </c>
      <c r="T17" s="4">
        <v>26000</v>
      </c>
      <c r="U17" s="4">
        <v>25833</v>
      </c>
      <c r="V17" s="4">
        <v>8610</v>
      </c>
      <c r="W17" s="4">
        <v>301</v>
      </c>
      <c r="X17" s="5">
        <f t="shared" si="4"/>
        <v>1.66</v>
      </c>
      <c r="Y17" s="4">
        <v>42354</v>
      </c>
      <c r="Z17" s="4">
        <v>9691</v>
      </c>
      <c r="AA17" s="4">
        <v>313</v>
      </c>
      <c r="AB17" s="5">
        <f t="shared" si="5"/>
        <v>1.48</v>
      </c>
    </row>
    <row r="18" spans="1:28" ht="14.25" x14ac:dyDescent="0.2">
      <c r="A18" s="9"/>
      <c r="B18" s="9">
        <v>71626</v>
      </c>
      <c r="C18" s="6" t="str">
        <f t="shared" si="6"/>
        <v>gcc-71626</v>
      </c>
      <c r="D18" s="7">
        <v>6133</v>
      </c>
      <c r="E18" s="8">
        <v>273</v>
      </c>
      <c r="F18" s="8">
        <v>198</v>
      </c>
      <c r="G18" s="8">
        <v>15</v>
      </c>
      <c r="H18" s="8">
        <v>42</v>
      </c>
      <c r="I18" s="5">
        <f t="shared" si="1"/>
        <v>406.07</v>
      </c>
      <c r="J18" s="8">
        <v>279</v>
      </c>
      <c r="K18" s="8">
        <v>166</v>
      </c>
      <c r="L18" s="8">
        <v>15</v>
      </c>
      <c r="M18" s="8">
        <v>42</v>
      </c>
      <c r="N18" s="5">
        <f t="shared" si="2"/>
        <v>406.07</v>
      </c>
      <c r="O18" s="8">
        <v>278</v>
      </c>
      <c r="P18" s="8">
        <v>148</v>
      </c>
      <c r="Q18" s="8">
        <v>15</v>
      </c>
      <c r="R18" s="8">
        <v>42</v>
      </c>
      <c r="S18" s="5">
        <f t="shared" si="3"/>
        <v>406.07</v>
      </c>
      <c r="T18" s="8">
        <v>277</v>
      </c>
      <c r="U18" s="8">
        <v>89</v>
      </c>
      <c r="V18" s="8">
        <v>15</v>
      </c>
      <c r="W18" s="8">
        <v>42</v>
      </c>
      <c r="X18" s="5">
        <f t="shared" si="4"/>
        <v>406.07</v>
      </c>
      <c r="Y18" s="8">
        <v>332</v>
      </c>
      <c r="Z18" s="8">
        <v>16</v>
      </c>
      <c r="AA18" s="8">
        <v>42</v>
      </c>
      <c r="AB18" s="5">
        <f t="shared" si="5"/>
        <v>380.69</v>
      </c>
    </row>
    <row r="19" spans="1:28" ht="14.25" x14ac:dyDescent="0.2">
      <c r="A19" s="1" t="s">
        <v>17</v>
      </c>
      <c r="B19" s="1">
        <v>577</v>
      </c>
      <c r="C19" s="6" t="str">
        <f>HYPERLINK("https://github.com/typetools/checker-framework/issues/" &amp; B19, "cf-" &amp; B19)</f>
        <v>cf-577</v>
      </c>
      <c r="D19" s="3">
        <v>382</v>
      </c>
      <c r="E19" s="1">
        <v>690</v>
      </c>
      <c r="F19" s="1">
        <v>912</v>
      </c>
      <c r="G19" s="1">
        <v>248</v>
      </c>
      <c r="H19" s="1">
        <v>225</v>
      </c>
      <c r="I19" s="5">
        <f t="shared" si="1"/>
        <v>0.63</v>
      </c>
      <c r="J19" s="4">
        <v>693</v>
      </c>
      <c r="K19" s="4">
        <v>968</v>
      </c>
      <c r="L19" s="4">
        <v>248</v>
      </c>
      <c r="M19" s="4">
        <v>225</v>
      </c>
      <c r="N19" s="5">
        <f t="shared" si="2"/>
        <v>0.63</v>
      </c>
      <c r="O19" s="4">
        <v>698</v>
      </c>
      <c r="P19" s="4">
        <v>735</v>
      </c>
      <c r="Q19" s="4">
        <v>249</v>
      </c>
      <c r="R19" s="4">
        <v>225</v>
      </c>
      <c r="S19" s="5">
        <f t="shared" si="3"/>
        <v>0.63</v>
      </c>
      <c r="T19" s="4">
        <v>773</v>
      </c>
      <c r="U19" s="4">
        <v>800</v>
      </c>
      <c r="V19" s="4">
        <v>261</v>
      </c>
      <c r="W19" s="4">
        <v>225</v>
      </c>
      <c r="X19" s="5">
        <f t="shared" si="4"/>
        <v>0.6</v>
      </c>
      <c r="Y19" s="4">
        <v>768</v>
      </c>
      <c r="Z19" s="4">
        <v>266</v>
      </c>
      <c r="AA19" s="4">
        <v>236</v>
      </c>
      <c r="AB19" s="5">
        <f t="shared" si="5"/>
        <v>0.55000000000000004</v>
      </c>
    </row>
    <row r="20" spans="1:28" ht="14.25" x14ac:dyDescent="0.2">
      <c r="A20" s="1"/>
      <c r="B20" s="1">
        <v>689</v>
      </c>
      <c r="C20" s="6" t="str">
        <f>HYPERLINK("https://github.com/typetools/checker-framework/issues/" &amp; B20, "cf-" &amp; B20)</f>
        <v>cf-689</v>
      </c>
      <c r="D20" s="3">
        <v>2328</v>
      </c>
      <c r="E20" s="1">
        <v>1634</v>
      </c>
      <c r="F20" s="1">
        <v>9132</v>
      </c>
      <c r="G20" s="1">
        <v>380</v>
      </c>
      <c r="H20" s="1">
        <v>122</v>
      </c>
      <c r="I20" s="5">
        <f t="shared" si="1"/>
        <v>5.81</v>
      </c>
      <c r="J20" s="4">
        <v>2084</v>
      </c>
      <c r="K20" s="4">
        <v>9762</v>
      </c>
      <c r="L20" s="4">
        <v>508</v>
      </c>
      <c r="M20" s="4">
        <v>128</v>
      </c>
      <c r="N20" s="5">
        <f t="shared" si="2"/>
        <v>4.33</v>
      </c>
      <c r="O20" s="4">
        <v>2689</v>
      </c>
      <c r="P20" s="4">
        <v>19153</v>
      </c>
      <c r="Q20" s="4">
        <v>930</v>
      </c>
      <c r="R20" s="4">
        <v>128</v>
      </c>
      <c r="S20" s="5">
        <f t="shared" si="3"/>
        <v>2.37</v>
      </c>
      <c r="T20" s="4">
        <v>1600</v>
      </c>
      <c r="U20" s="4">
        <v>7964</v>
      </c>
      <c r="V20" s="4">
        <v>384</v>
      </c>
      <c r="W20" s="4">
        <v>128</v>
      </c>
      <c r="X20" s="5">
        <f t="shared" si="4"/>
        <v>5.73</v>
      </c>
      <c r="Y20" s="1">
        <v>956</v>
      </c>
      <c r="Z20" s="1">
        <v>344</v>
      </c>
      <c r="AA20" s="1">
        <v>126</v>
      </c>
      <c r="AB20" s="5">
        <f t="shared" si="5"/>
        <v>6.4</v>
      </c>
    </row>
    <row r="21" spans="1:28" ht="14.25" x14ac:dyDescent="0.2">
      <c r="A21" s="1"/>
      <c r="B21" s="1">
        <v>691</v>
      </c>
      <c r="C21" s="6" t="str">
        <f>HYPERLINK("https://github.com/typetools/checker-framework/issues/" &amp; B21, "cf-" &amp; B21)</f>
        <v>cf-691</v>
      </c>
      <c r="D21" s="3">
        <v>25477</v>
      </c>
      <c r="E21" s="1">
        <v>3164</v>
      </c>
      <c r="F21" s="1">
        <v>18076</v>
      </c>
      <c r="G21" s="1">
        <v>676</v>
      </c>
      <c r="H21" s="1">
        <v>451</v>
      </c>
      <c r="I21" s="5">
        <f t="shared" si="1"/>
        <v>37.020000000000003</v>
      </c>
      <c r="J21" s="4">
        <v>3880</v>
      </c>
      <c r="K21" s="4">
        <v>14738</v>
      </c>
      <c r="L21" s="4">
        <v>785</v>
      </c>
      <c r="M21" s="4">
        <v>462</v>
      </c>
      <c r="N21" s="5">
        <f t="shared" si="2"/>
        <v>31.87</v>
      </c>
      <c r="O21" s="4">
        <v>9298</v>
      </c>
      <c r="P21" s="4">
        <v>172025</v>
      </c>
      <c r="Q21" s="4">
        <v>1494</v>
      </c>
      <c r="R21" s="4">
        <v>465</v>
      </c>
      <c r="S21" s="5">
        <f t="shared" si="3"/>
        <v>16.739999999999998</v>
      </c>
      <c r="T21" s="4">
        <v>10589</v>
      </c>
      <c r="U21" s="4">
        <v>242738</v>
      </c>
      <c r="V21" s="4">
        <v>1734</v>
      </c>
      <c r="W21" s="4">
        <v>251</v>
      </c>
      <c r="X21" s="5">
        <f t="shared" si="4"/>
        <v>14.55</v>
      </c>
      <c r="Y21" s="1">
        <v>41714</v>
      </c>
      <c r="Z21" s="1">
        <v>8367</v>
      </c>
      <c r="AA21" s="1">
        <v>37</v>
      </c>
      <c r="AB21" s="5">
        <f t="shared" si="5"/>
        <v>3.04</v>
      </c>
    </row>
    <row r="22" spans="1:28" ht="14.25" x14ac:dyDescent="0.2">
      <c r="A22" s="1"/>
      <c r="B22" s="1">
        <v>4614</v>
      </c>
      <c r="C22" s="6" t="str">
        <f>HYPERLINK("https://github.com/typetools/checker-framework/issues/" &amp; B22, "cf-" &amp; B22)</f>
        <v>cf-4614</v>
      </c>
      <c r="D22" s="3">
        <v>394</v>
      </c>
      <c r="E22" s="1">
        <v>102</v>
      </c>
      <c r="F22" s="1">
        <v>18</v>
      </c>
      <c r="G22" s="1">
        <v>85</v>
      </c>
      <c r="H22" s="1">
        <v>67</v>
      </c>
      <c r="I22" s="5">
        <f t="shared" si="1"/>
        <v>3.85</v>
      </c>
      <c r="J22" s="4">
        <v>102</v>
      </c>
      <c r="K22" s="4">
        <v>18</v>
      </c>
      <c r="L22" s="4">
        <v>85</v>
      </c>
      <c r="M22" s="4">
        <v>67</v>
      </c>
      <c r="N22" s="5">
        <f t="shared" si="2"/>
        <v>3.85</v>
      </c>
      <c r="O22" s="4">
        <v>209</v>
      </c>
      <c r="P22" s="4">
        <v>212</v>
      </c>
      <c r="Q22" s="4">
        <v>136</v>
      </c>
      <c r="R22" s="4">
        <v>67</v>
      </c>
      <c r="S22" s="5">
        <f t="shared" si="3"/>
        <v>2.4</v>
      </c>
      <c r="T22" s="4">
        <v>298</v>
      </c>
      <c r="U22" s="4">
        <v>227</v>
      </c>
      <c r="V22" s="4">
        <v>177</v>
      </c>
      <c r="W22" s="4">
        <v>67</v>
      </c>
      <c r="X22" s="5">
        <f t="shared" si="4"/>
        <v>1.85</v>
      </c>
      <c r="Y22" s="1">
        <v>382</v>
      </c>
      <c r="Z22" s="1">
        <v>197</v>
      </c>
      <c r="AA22" s="4">
        <v>67</v>
      </c>
      <c r="AB22" s="5">
        <f t="shared" si="5"/>
        <v>1.66</v>
      </c>
    </row>
    <row r="23" spans="1:28" ht="14.25" x14ac:dyDescent="0.2">
      <c r="A23" s="1" t="s">
        <v>18</v>
      </c>
      <c r="B23" s="1">
        <v>352665</v>
      </c>
      <c r="C23" s="6" t="str">
        <f>HYPERLINK("https://bugs.eclipse.org/bugs/show_bug.cgi?id=" &amp; B23, "ecj-" &amp; B23)</f>
        <v>ecj-352665</v>
      </c>
      <c r="D23" s="3">
        <v>1142</v>
      </c>
      <c r="E23" s="1">
        <v>104</v>
      </c>
      <c r="F23" s="1">
        <v>148</v>
      </c>
      <c r="G23" s="1">
        <v>42</v>
      </c>
      <c r="H23" s="1">
        <v>44</v>
      </c>
      <c r="I23" s="5">
        <f t="shared" si="1"/>
        <v>26.14</v>
      </c>
      <c r="J23" s="4">
        <v>116</v>
      </c>
      <c r="K23" s="4">
        <v>286</v>
      </c>
      <c r="L23" s="4">
        <v>46</v>
      </c>
      <c r="M23" s="4">
        <v>44</v>
      </c>
      <c r="N23" s="5">
        <f t="shared" si="2"/>
        <v>23.87</v>
      </c>
      <c r="O23" s="4">
        <v>169</v>
      </c>
      <c r="P23" s="4">
        <v>851</v>
      </c>
      <c r="Q23" s="4">
        <v>50</v>
      </c>
      <c r="R23" s="4">
        <v>44</v>
      </c>
      <c r="S23" s="5">
        <f t="shared" si="3"/>
        <v>21.96</v>
      </c>
      <c r="T23" s="4">
        <v>236</v>
      </c>
      <c r="U23" s="4">
        <v>850</v>
      </c>
      <c r="V23" s="4">
        <v>66</v>
      </c>
      <c r="W23" s="4">
        <v>44</v>
      </c>
      <c r="X23" s="5">
        <f t="shared" si="4"/>
        <v>16.64</v>
      </c>
      <c r="Y23" s="1">
        <v>427</v>
      </c>
      <c r="Z23" s="1">
        <v>99</v>
      </c>
      <c r="AA23" s="1">
        <v>64</v>
      </c>
      <c r="AB23" s="5">
        <f t="shared" si="5"/>
        <v>10.89</v>
      </c>
    </row>
    <row r="24" spans="1:28" ht="14.25" x14ac:dyDescent="0.2">
      <c r="A24" s="1"/>
      <c r="B24" s="1">
        <v>404146</v>
      </c>
      <c r="C24" s="6" t="str">
        <f>HYPERLINK("https://bugs.eclipse.org/bugs/show_bug.cgi?id=" &amp; B24, "ecj-" &amp; B24)</f>
        <v>ecj-404146</v>
      </c>
      <c r="D24" s="3">
        <v>348</v>
      </c>
      <c r="E24" s="1">
        <v>177</v>
      </c>
      <c r="F24" s="1">
        <v>36</v>
      </c>
      <c r="G24" s="1">
        <v>60</v>
      </c>
      <c r="H24" s="1">
        <v>69</v>
      </c>
      <c r="I24" s="5">
        <f t="shared" si="1"/>
        <v>4.6500000000000004</v>
      </c>
      <c r="J24" s="4">
        <v>262</v>
      </c>
      <c r="K24" s="4">
        <v>36</v>
      </c>
      <c r="L24" s="4">
        <v>87</v>
      </c>
      <c r="M24" s="4">
        <v>82</v>
      </c>
      <c r="N24" s="5">
        <f t="shared" si="2"/>
        <v>3.06</v>
      </c>
      <c r="O24" s="4">
        <v>239</v>
      </c>
      <c r="P24" s="4">
        <v>106</v>
      </c>
      <c r="Q24" s="4">
        <v>74</v>
      </c>
      <c r="R24" s="4">
        <v>82</v>
      </c>
      <c r="S24" s="5">
        <f t="shared" si="3"/>
        <v>3.59</v>
      </c>
      <c r="T24" s="4">
        <v>340</v>
      </c>
      <c r="U24" s="4">
        <v>117</v>
      </c>
      <c r="V24" s="4">
        <v>99</v>
      </c>
      <c r="W24" s="4">
        <v>91</v>
      </c>
      <c r="X24" s="5">
        <f t="shared" si="4"/>
        <v>2.6</v>
      </c>
      <c r="Y24" s="1">
        <v>424</v>
      </c>
      <c r="Z24" s="1">
        <v>115</v>
      </c>
      <c r="AA24" s="1">
        <v>120</v>
      </c>
      <c r="AB24" s="5">
        <f t="shared" si="5"/>
        <v>1.98</v>
      </c>
    </row>
    <row r="25" spans="1:28" ht="14.25" x14ac:dyDescent="0.2">
      <c r="A25" s="1" t="s">
        <v>19</v>
      </c>
      <c r="B25" s="1">
        <v>8068399</v>
      </c>
      <c r="C25" s="6" t="str">
        <f>HYPERLINK("https://bugs.openjdk.org/browse/JDK-" &amp; B25 &amp; "?filter=allissues", "JDK-" &amp; B25)</f>
        <v>JDK-8068399</v>
      </c>
      <c r="D25" s="3">
        <v>447</v>
      </c>
      <c r="E25" s="1">
        <v>245</v>
      </c>
      <c r="F25" s="1">
        <v>193</v>
      </c>
      <c r="G25" s="1">
        <v>21</v>
      </c>
      <c r="H25" s="1">
        <v>73</v>
      </c>
      <c r="I25" s="5">
        <f t="shared" si="1"/>
        <v>17.809999999999999</v>
      </c>
      <c r="J25" s="4">
        <v>309</v>
      </c>
      <c r="K25" s="4">
        <v>562</v>
      </c>
      <c r="L25" s="4">
        <v>24</v>
      </c>
      <c r="M25" s="4">
        <v>73</v>
      </c>
      <c r="N25" s="5">
        <f t="shared" si="2"/>
        <v>15.58</v>
      </c>
      <c r="O25" s="4">
        <v>307</v>
      </c>
      <c r="P25" s="4">
        <v>469</v>
      </c>
      <c r="Q25" s="4">
        <v>24</v>
      </c>
      <c r="R25" s="4">
        <v>73</v>
      </c>
      <c r="S25" s="5">
        <f t="shared" si="3"/>
        <v>15.58</v>
      </c>
      <c r="T25" s="4">
        <v>334</v>
      </c>
      <c r="U25" s="4">
        <v>407</v>
      </c>
      <c r="V25" s="4">
        <v>26</v>
      </c>
      <c r="W25" s="4">
        <v>73</v>
      </c>
      <c r="X25" s="5">
        <f t="shared" si="4"/>
        <v>14.38</v>
      </c>
      <c r="Y25" s="1">
        <v>383</v>
      </c>
      <c r="Z25" s="1">
        <v>27</v>
      </c>
      <c r="AA25" s="1">
        <v>76</v>
      </c>
      <c r="AB25" s="5">
        <f t="shared" si="5"/>
        <v>13.74</v>
      </c>
    </row>
    <row r="26" spans="1:28" ht="14.25" x14ac:dyDescent="0.2">
      <c r="A26" s="1"/>
      <c r="B26" s="1">
        <v>8145466</v>
      </c>
      <c r="C26" s="6" t="str">
        <f>HYPERLINK("https://bugs.openjdk.org/browse/JDK-" &amp; B26 &amp; "?filter=allissues", "JDK-" &amp; B26)</f>
        <v>JDK-8145466</v>
      </c>
      <c r="D26" s="3">
        <v>462</v>
      </c>
      <c r="E26" s="1">
        <v>112</v>
      </c>
      <c r="F26" s="1">
        <v>105</v>
      </c>
      <c r="G26" s="1">
        <v>13</v>
      </c>
      <c r="H26" s="1">
        <v>40</v>
      </c>
      <c r="I26" s="5">
        <f t="shared" si="1"/>
        <v>32.46</v>
      </c>
      <c r="J26" s="4">
        <v>116</v>
      </c>
      <c r="K26" s="4">
        <v>97</v>
      </c>
      <c r="L26" s="4">
        <v>14</v>
      </c>
      <c r="M26" s="4">
        <v>40</v>
      </c>
      <c r="N26" s="5">
        <f t="shared" si="2"/>
        <v>30.14</v>
      </c>
      <c r="O26" s="4">
        <v>141</v>
      </c>
      <c r="P26" s="4">
        <v>178</v>
      </c>
      <c r="Q26" s="4">
        <v>16</v>
      </c>
      <c r="R26" s="4">
        <v>40</v>
      </c>
      <c r="S26" s="5">
        <f t="shared" si="3"/>
        <v>26.38</v>
      </c>
      <c r="T26" s="4">
        <v>191</v>
      </c>
      <c r="U26" s="4">
        <v>144</v>
      </c>
      <c r="V26" s="4">
        <v>20</v>
      </c>
      <c r="W26" s="4">
        <v>40</v>
      </c>
      <c r="X26" s="5">
        <f t="shared" si="4"/>
        <v>21.1</v>
      </c>
      <c r="Y26" s="1">
        <v>227</v>
      </c>
      <c r="Z26" s="1">
        <v>22</v>
      </c>
      <c r="AA26" s="1">
        <v>44</v>
      </c>
      <c r="AB26" s="5">
        <f t="shared" si="5"/>
        <v>19</v>
      </c>
    </row>
    <row r="27" spans="1:28" x14ac:dyDescent="0.2">
      <c r="A27" s="1"/>
      <c r="B27" s="1"/>
      <c r="C27" s="1"/>
      <c r="D27" s="3"/>
      <c r="I27" s="2"/>
      <c r="N27" s="2"/>
      <c r="S27" s="2"/>
      <c r="X27" s="2"/>
      <c r="AB27" s="2"/>
    </row>
    <row r="28" spans="1:28" x14ac:dyDescent="0.2">
      <c r="A28" s="1"/>
      <c r="B28" s="1"/>
      <c r="C28" s="1"/>
      <c r="D28" s="3"/>
      <c r="I28" s="2"/>
      <c r="N28" s="2"/>
      <c r="S28" s="2"/>
      <c r="X28" s="2"/>
      <c r="AB28" s="2"/>
    </row>
    <row r="29" spans="1:28" x14ac:dyDescent="0.2">
      <c r="A29" s="1"/>
      <c r="B29" s="1"/>
      <c r="C29" s="1"/>
      <c r="D29" s="3"/>
      <c r="I29" s="2"/>
      <c r="N29" s="2"/>
      <c r="S29" s="2"/>
      <c r="X29" s="2"/>
      <c r="AB29" s="2"/>
    </row>
    <row r="30" spans="1:28" x14ac:dyDescent="0.2">
      <c r="A30" s="1"/>
      <c r="B30" s="1"/>
      <c r="C30" s="1"/>
      <c r="D30" s="3"/>
      <c r="I30" s="2"/>
      <c r="N30" s="2"/>
      <c r="S30" s="2"/>
      <c r="X30" s="2"/>
      <c r="AB30" s="2"/>
    </row>
    <row r="31" spans="1:28" x14ac:dyDescent="0.2">
      <c r="A31" s="1"/>
      <c r="B31" s="1"/>
      <c r="C31" s="1"/>
      <c r="D31" s="3"/>
      <c r="I31" s="2"/>
      <c r="N31" s="2"/>
      <c r="S31" s="2"/>
      <c r="X31" s="2"/>
      <c r="AB31" s="2"/>
    </row>
    <row r="32" spans="1:28" x14ac:dyDescent="0.2">
      <c r="A32" s="1"/>
      <c r="B32" s="1"/>
      <c r="C32" s="1"/>
      <c r="D32" s="3"/>
      <c r="I32" s="2"/>
      <c r="N32" s="2"/>
      <c r="S32" s="2"/>
      <c r="X32" s="2"/>
      <c r="AB32" s="2"/>
    </row>
    <row r="33" spans="1:28" x14ac:dyDescent="0.2">
      <c r="A33" s="1"/>
      <c r="B33" s="1"/>
      <c r="C33" s="1"/>
      <c r="D33" s="3"/>
      <c r="I33" s="2"/>
      <c r="N33" s="2"/>
      <c r="S33" s="2"/>
      <c r="X33" s="2"/>
      <c r="AB33" s="2"/>
    </row>
    <row r="34" spans="1:28" x14ac:dyDescent="0.2">
      <c r="A34" s="1"/>
      <c r="B34" s="1"/>
      <c r="C34" s="1"/>
      <c r="D34" s="3"/>
      <c r="I34" s="2"/>
      <c r="N34" s="2"/>
      <c r="S34" s="2"/>
      <c r="X34" s="2"/>
      <c r="AB34" s="2"/>
    </row>
    <row r="35" spans="1:28" x14ac:dyDescent="0.2">
      <c r="A35" s="1"/>
      <c r="B35" s="1"/>
      <c r="C35" s="1"/>
      <c r="D35" s="3"/>
      <c r="I35" s="2"/>
      <c r="N35" s="2"/>
      <c r="S35" s="2"/>
      <c r="X35" s="2"/>
      <c r="AB35" s="2"/>
    </row>
    <row r="36" spans="1:28" x14ac:dyDescent="0.2">
      <c r="A36" s="1"/>
      <c r="B36" s="1"/>
      <c r="C36" s="1"/>
      <c r="D36" s="3"/>
      <c r="I36" s="2"/>
      <c r="N36" s="2"/>
      <c r="S36" s="2"/>
      <c r="X36" s="2"/>
      <c r="AB36" s="2"/>
    </row>
    <row r="37" spans="1:28" x14ac:dyDescent="0.2">
      <c r="A37" s="1"/>
      <c r="B37" s="1"/>
      <c r="C37" s="1"/>
      <c r="D37" s="3"/>
      <c r="I37" s="2"/>
      <c r="N37" s="2"/>
      <c r="S37" s="2"/>
      <c r="X37" s="2"/>
      <c r="AB37" s="2"/>
    </row>
    <row r="38" spans="1:28" x14ac:dyDescent="0.2">
      <c r="A38" s="1"/>
      <c r="B38" s="1"/>
      <c r="C38" s="1"/>
      <c r="D38" s="3"/>
      <c r="I38" s="2"/>
      <c r="N38" s="2"/>
      <c r="S38" s="2"/>
      <c r="X38" s="2"/>
      <c r="AB38" s="2"/>
    </row>
    <row r="39" spans="1:28" x14ac:dyDescent="0.2">
      <c r="A39" s="1"/>
      <c r="B39" s="1"/>
      <c r="C39" s="1"/>
      <c r="D39" s="3"/>
      <c r="I39" s="2"/>
      <c r="N39" s="2"/>
      <c r="S39" s="2"/>
      <c r="X39" s="2"/>
      <c r="AB39" s="2"/>
    </row>
    <row r="40" spans="1:28" x14ac:dyDescent="0.2">
      <c r="A40" s="1"/>
      <c r="B40" s="1"/>
      <c r="C40" s="1"/>
      <c r="D40" s="3"/>
      <c r="I40" s="2"/>
      <c r="N40" s="2"/>
      <c r="S40" s="2"/>
      <c r="X40" s="2"/>
      <c r="AB40" s="2"/>
    </row>
    <row r="41" spans="1:28" x14ac:dyDescent="0.2">
      <c r="A41" s="1"/>
      <c r="B41" s="1"/>
      <c r="C41" s="1"/>
      <c r="D41" s="3"/>
      <c r="I41" s="2"/>
      <c r="N41" s="2"/>
      <c r="S41" s="2"/>
      <c r="X41" s="2"/>
      <c r="AB41" s="2"/>
    </row>
    <row r="42" spans="1:28" x14ac:dyDescent="0.2">
      <c r="A42" s="1"/>
      <c r="B42" s="1"/>
      <c r="C42" s="1"/>
      <c r="D42" s="3"/>
      <c r="I42" s="2"/>
      <c r="N42" s="2"/>
      <c r="S42" s="2"/>
      <c r="X42" s="2"/>
      <c r="AB42" s="2"/>
    </row>
    <row r="43" spans="1:28" x14ac:dyDescent="0.2">
      <c r="A43" s="1"/>
      <c r="B43" s="1"/>
      <c r="C43" s="1"/>
      <c r="D43" s="3"/>
      <c r="I43" s="2"/>
      <c r="N43" s="2"/>
      <c r="S43" s="2"/>
      <c r="X43" s="2"/>
      <c r="AB43" s="2"/>
    </row>
    <row r="44" spans="1:28" x14ac:dyDescent="0.2">
      <c r="A44" s="1"/>
      <c r="B44" s="1"/>
      <c r="C44" s="1"/>
      <c r="D44" s="3"/>
      <c r="I44" s="2"/>
      <c r="N44" s="2"/>
      <c r="S44" s="2"/>
      <c r="X44" s="2"/>
      <c r="AB44" s="2"/>
    </row>
    <row r="45" spans="1:28" x14ac:dyDescent="0.2">
      <c r="A45" s="1"/>
      <c r="B45" s="1"/>
      <c r="C45" s="1"/>
      <c r="D45" s="3"/>
      <c r="I45" s="2"/>
      <c r="N45" s="2"/>
      <c r="S45" s="2"/>
      <c r="X45" s="2"/>
      <c r="AB45" s="2"/>
    </row>
    <row r="46" spans="1:28" x14ac:dyDescent="0.2">
      <c r="A46" s="1"/>
      <c r="B46" s="1"/>
      <c r="C46" s="1"/>
      <c r="D46" s="3"/>
      <c r="I46" s="2"/>
      <c r="N46" s="2"/>
      <c r="S46" s="2"/>
      <c r="X46" s="2"/>
      <c r="AB46" s="2"/>
    </row>
    <row r="47" spans="1:28" x14ac:dyDescent="0.2">
      <c r="A47" s="1"/>
      <c r="B47" s="1"/>
      <c r="C47" s="1"/>
      <c r="D47" s="3"/>
      <c r="I47" s="2"/>
      <c r="N47" s="2"/>
      <c r="S47" s="2"/>
      <c r="X47" s="2"/>
      <c r="AB47" s="2"/>
    </row>
    <row r="48" spans="1:28" x14ac:dyDescent="0.2">
      <c r="A48" s="1"/>
      <c r="B48" s="1"/>
      <c r="C48" s="1"/>
      <c r="D48" s="3"/>
      <c r="I48" s="2"/>
      <c r="N48" s="2"/>
      <c r="S48" s="2"/>
      <c r="X48" s="2"/>
      <c r="AB48" s="2"/>
    </row>
    <row r="49" spans="1:28" x14ac:dyDescent="0.2">
      <c r="A49" s="1"/>
      <c r="B49" s="1"/>
      <c r="C49" s="1"/>
      <c r="D49" s="3"/>
      <c r="I49" s="2"/>
      <c r="N49" s="2"/>
      <c r="S49" s="2"/>
      <c r="X49" s="2"/>
      <c r="AB49" s="2"/>
    </row>
    <row r="50" spans="1:28" x14ac:dyDescent="0.2">
      <c r="A50" s="1"/>
      <c r="B50" s="1"/>
      <c r="C50" s="1"/>
      <c r="D50" s="3"/>
      <c r="I50" s="2"/>
      <c r="N50" s="2"/>
      <c r="S50" s="2"/>
      <c r="X50" s="2"/>
      <c r="AB50" s="2"/>
    </row>
    <row r="51" spans="1:28" x14ac:dyDescent="0.2">
      <c r="A51" s="1"/>
      <c r="B51" s="1"/>
      <c r="C51" s="1"/>
      <c r="D51" s="3"/>
      <c r="I51" s="2"/>
      <c r="N51" s="2"/>
      <c r="S51" s="2"/>
      <c r="X51" s="2"/>
      <c r="AB51" s="2"/>
    </row>
    <row r="52" spans="1:28" x14ac:dyDescent="0.2">
      <c r="A52" s="1"/>
      <c r="B52" s="1"/>
      <c r="C52" s="1"/>
      <c r="D52" s="3"/>
      <c r="I52" s="2"/>
      <c r="N52" s="2"/>
      <c r="S52" s="2"/>
      <c r="X52" s="2"/>
      <c r="AB52" s="2"/>
    </row>
    <row r="53" spans="1:28" x14ac:dyDescent="0.2">
      <c r="A53" s="1"/>
      <c r="B53" s="1"/>
      <c r="C53" s="1"/>
      <c r="D53" s="3"/>
      <c r="I53" s="2"/>
      <c r="N53" s="2"/>
      <c r="S53" s="2"/>
      <c r="X53" s="2"/>
      <c r="AB53" s="2"/>
    </row>
    <row r="54" spans="1:28" x14ac:dyDescent="0.2">
      <c r="A54" s="1"/>
      <c r="B54" s="1"/>
      <c r="C54" s="1"/>
      <c r="D54" s="3"/>
      <c r="I54" s="2"/>
      <c r="N54" s="2"/>
      <c r="S54" s="2"/>
      <c r="X54" s="2"/>
      <c r="AB54" s="2"/>
    </row>
    <row r="55" spans="1:28" x14ac:dyDescent="0.2">
      <c r="A55" s="1"/>
      <c r="B55" s="1"/>
      <c r="C55" s="1"/>
      <c r="D55" s="3"/>
      <c r="I55" s="2"/>
      <c r="N55" s="2"/>
      <c r="S55" s="2"/>
      <c r="X55" s="2"/>
      <c r="AB55" s="2"/>
    </row>
    <row r="56" spans="1:28" x14ac:dyDescent="0.2">
      <c r="A56" s="1"/>
      <c r="B56" s="1"/>
      <c r="C56" s="1"/>
      <c r="D56" s="3"/>
      <c r="I56" s="2"/>
      <c r="N56" s="2"/>
      <c r="S56" s="2"/>
      <c r="X56" s="2"/>
      <c r="AB56" s="2"/>
    </row>
    <row r="57" spans="1:28" x14ac:dyDescent="0.2">
      <c r="A57" s="1"/>
      <c r="B57" s="1"/>
      <c r="C57" s="1"/>
      <c r="D57" s="3"/>
      <c r="I57" s="2"/>
      <c r="N57" s="2"/>
      <c r="S57" s="2"/>
      <c r="X57" s="2"/>
      <c r="AB57" s="2"/>
    </row>
    <row r="58" spans="1:28" x14ac:dyDescent="0.2">
      <c r="A58" s="1"/>
      <c r="B58" s="1"/>
      <c r="C58" s="1"/>
      <c r="D58" s="3"/>
      <c r="I58" s="2"/>
      <c r="N58" s="2"/>
      <c r="S58" s="2"/>
      <c r="X58" s="2"/>
      <c r="AB58" s="2"/>
    </row>
    <row r="59" spans="1:28" x14ac:dyDescent="0.2">
      <c r="A59" s="1"/>
      <c r="B59" s="1"/>
      <c r="C59" s="1"/>
      <c r="D59" s="3"/>
      <c r="I59" s="2"/>
      <c r="N59" s="2"/>
      <c r="S59" s="2"/>
      <c r="X59" s="2"/>
      <c r="AB59" s="2"/>
    </row>
    <row r="60" spans="1:28" x14ac:dyDescent="0.2">
      <c r="A60" s="1"/>
      <c r="B60" s="1"/>
      <c r="C60" s="1"/>
      <c r="D60" s="3"/>
      <c r="I60" s="2"/>
      <c r="N60" s="2"/>
      <c r="S60" s="2"/>
      <c r="X60" s="2"/>
      <c r="AB60" s="2"/>
    </row>
    <row r="61" spans="1:28" x14ac:dyDescent="0.2">
      <c r="A61" s="1"/>
      <c r="B61" s="1"/>
      <c r="C61" s="1"/>
      <c r="D61" s="3"/>
      <c r="I61" s="2"/>
      <c r="N61" s="2"/>
      <c r="S61" s="2"/>
      <c r="X61" s="2"/>
      <c r="AB61" s="2"/>
    </row>
    <row r="62" spans="1:28" x14ac:dyDescent="0.2">
      <c r="A62" s="1"/>
      <c r="B62" s="1"/>
      <c r="C62" s="1"/>
      <c r="D62" s="3"/>
      <c r="I62" s="2"/>
      <c r="N62" s="2"/>
      <c r="S62" s="2"/>
      <c r="X62" s="2"/>
      <c r="AB62" s="2"/>
    </row>
    <row r="63" spans="1:28" x14ac:dyDescent="0.2">
      <c r="A63" s="1"/>
      <c r="B63" s="1"/>
      <c r="C63" s="1"/>
      <c r="D63" s="3"/>
      <c r="I63" s="2"/>
      <c r="N63" s="2"/>
      <c r="S63" s="2"/>
      <c r="X63" s="2"/>
      <c r="AB63" s="2"/>
    </row>
    <row r="64" spans="1:28" x14ac:dyDescent="0.2">
      <c r="A64" s="1"/>
      <c r="B64" s="1"/>
      <c r="C64" s="1"/>
      <c r="D64" s="3"/>
      <c r="I64" s="2"/>
      <c r="N64" s="2"/>
      <c r="S64" s="2"/>
      <c r="X64" s="2"/>
      <c r="AB64" s="2"/>
    </row>
    <row r="65" spans="1:28" x14ac:dyDescent="0.2">
      <c r="A65" s="1"/>
      <c r="B65" s="1"/>
      <c r="C65" s="1"/>
      <c r="D65" s="3"/>
      <c r="I65" s="2"/>
      <c r="N65" s="2"/>
      <c r="S65" s="2"/>
      <c r="X65" s="2"/>
      <c r="AB65" s="2"/>
    </row>
    <row r="66" spans="1:28" x14ac:dyDescent="0.2">
      <c r="A66" s="1"/>
      <c r="B66" s="1"/>
      <c r="C66" s="1"/>
      <c r="D66" s="3"/>
      <c r="I66" s="2"/>
      <c r="N66" s="2"/>
      <c r="S66" s="2"/>
      <c r="X66" s="2"/>
      <c r="AB66" s="2"/>
    </row>
    <row r="67" spans="1:28" x14ac:dyDescent="0.2">
      <c r="A67" s="1"/>
      <c r="B67" s="1"/>
      <c r="C67" s="1"/>
      <c r="D67" s="3"/>
      <c r="I67" s="2"/>
      <c r="N67" s="2"/>
      <c r="S67" s="2"/>
      <c r="X67" s="2"/>
      <c r="AB67" s="2"/>
    </row>
    <row r="68" spans="1:28" x14ac:dyDescent="0.2">
      <c r="A68" s="1"/>
      <c r="B68" s="1"/>
      <c r="C68" s="1"/>
      <c r="D68" s="3"/>
      <c r="I68" s="2"/>
      <c r="N68" s="2"/>
      <c r="S68" s="2"/>
      <c r="X68" s="2"/>
      <c r="AB68" s="2"/>
    </row>
    <row r="69" spans="1:28" x14ac:dyDescent="0.2">
      <c r="A69" s="1"/>
      <c r="B69" s="1"/>
      <c r="C69" s="1"/>
      <c r="D69" s="3"/>
      <c r="I69" s="2"/>
      <c r="N69" s="2"/>
      <c r="S69" s="2"/>
      <c r="X69" s="2"/>
      <c r="AB69" s="2"/>
    </row>
    <row r="70" spans="1:28" x14ac:dyDescent="0.2">
      <c r="A70" s="1"/>
      <c r="B70" s="1"/>
      <c r="C70" s="1"/>
      <c r="D70" s="3"/>
      <c r="I70" s="2"/>
      <c r="N70" s="2"/>
      <c r="S70" s="2"/>
      <c r="X70" s="2"/>
      <c r="AB70" s="2"/>
    </row>
    <row r="71" spans="1:28" x14ac:dyDescent="0.2">
      <c r="A71" s="1"/>
      <c r="B71" s="1"/>
      <c r="C71" s="1"/>
      <c r="D71" s="3"/>
      <c r="I71" s="2"/>
      <c r="N71" s="2"/>
      <c r="S71" s="2"/>
      <c r="X71" s="2"/>
      <c r="AB71" s="2"/>
    </row>
    <row r="72" spans="1:28" x14ac:dyDescent="0.2">
      <c r="A72" s="1"/>
      <c r="B72" s="1"/>
      <c r="C72" s="1"/>
      <c r="D72" s="3"/>
      <c r="I72" s="2"/>
      <c r="N72" s="2"/>
      <c r="S72" s="2"/>
      <c r="X72" s="2"/>
      <c r="AB72" s="2"/>
    </row>
    <row r="73" spans="1:28" x14ac:dyDescent="0.2">
      <c r="A73" s="1"/>
      <c r="B73" s="1"/>
      <c r="C73" s="1"/>
      <c r="D73" s="3"/>
      <c r="I73" s="2"/>
      <c r="N73" s="2"/>
      <c r="S73" s="2"/>
      <c r="X73" s="2"/>
      <c r="AB73" s="2"/>
    </row>
    <row r="74" spans="1:28" x14ac:dyDescent="0.2">
      <c r="A74" s="1"/>
      <c r="B74" s="1"/>
      <c r="C74" s="1"/>
      <c r="D74" s="3"/>
      <c r="I74" s="2"/>
      <c r="N74" s="2"/>
      <c r="S74" s="2"/>
      <c r="X74" s="2"/>
      <c r="AB74" s="2"/>
    </row>
    <row r="75" spans="1:28" x14ac:dyDescent="0.2">
      <c r="A75" s="1"/>
      <c r="B75" s="1"/>
      <c r="C75" s="1"/>
      <c r="D75" s="3"/>
      <c r="I75" s="2"/>
      <c r="N75" s="2"/>
      <c r="S75" s="2"/>
      <c r="X75" s="2"/>
      <c r="AB75" s="2"/>
    </row>
    <row r="76" spans="1:28" x14ac:dyDescent="0.2">
      <c r="A76" s="1"/>
      <c r="B76" s="1"/>
      <c r="C76" s="1"/>
      <c r="D76" s="3"/>
      <c r="I76" s="2"/>
      <c r="N76" s="2"/>
      <c r="S76" s="2"/>
      <c r="X76" s="2"/>
      <c r="AB76" s="2"/>
    </row>
    <row r="77" spans="1:28" x14ac:dyDescent="0.2">
      <c r="A77" s="1"/>
      <c r="B77" s="1"/>
      <c r="C77" s="1"/>
      <c r="D77" s="3"/>
      <c r="I77" s="2"/>
      <c r="N77" s="2"/>
      <c r="S77" s="2"/>
      <c r="X77" s="2"/>
      <c r="AB77" s="2"/>
    </row>
    <row r="78" spans="1:28" x14ac:dyDescent="0.2">
      <c r="A78" s="1"/>
      <c r="B78" s="1"/>
      <c r="C78" s="1"/>
      <c r="D78" s="3"/>
      <c r="I78" s="2"/>
      <c r="N78" s="2"/>
      <c r="S78" s="2"/>
      <c r="X78" s="2"/>
      <c r="AB78" s="2"/>
    </row>
    <row r="79" spans="1:28" x14ac:dyDescent="0.2">
      <c r="A79" s="1"/>
      <c r="B79" s="1"/>
      <c r="C79" s="1"/>
      <c r="D79" s="3"/>
      <c r="I79" s="2"/>
      <c r="N79" s="2"/>
      <c r="S79" s="2"/>
      <c r="X79" s="2"/>
      <c r="AB79" s="2"/>
    </row>
    <row r="80" spans="1:28" x14ac:dyDescent="0.2">
      <c r="A80" s="1"/>
      <c r="B80" s="1"/>
      <c r="C80" s="1"/>
      <c r="D80" s="3"/>
      <c r="I80" s="2"/>
      <c r="N80" s="2"/>
      <c r="S80" s="2"/>
      <c r="X80" s="2"/>
      <c r="AB80" s="2"/>
    </row>
    <row r="81" spans="1:28" x14ac:dyDescent="0.2">
      <c r="A81" s="1"/>
      <c r="B81" s="1"/>
      <c r="C81" s="1"/>
      <c r="D81" s="3"/>
      <c r="I81" s="2"/>
      <c r="N81" s="2"/>
      <c r="S81" s="2"/>
      <c r="X81" s="2"/>
      <c r="AB81" s="2"/>
    </row>
    <row r="82" spans="1:28" x14ac:dyDescent="0.2">
      <c r="A82" s="1"/>
      <c r="B82" s="1"/>
      <c r="C82" s="1"/>
      <c r="D82" s="3"/>
      <c r="I82" s="2"/>
      <c r="N82" s="2"/>
      <c r="S82" s="2"/>
      <c r="X82" s="2"/>
      <c r="AB82" s="2"/>
    </row>
    <row r="83" spans="1:28" x14ac:dyDescent="0.2">
      <c r="A83" s="1"/>
      <c r="B83" s="1"/>
      <c r="C83" s="1"/>
      <c r="D83" s="3"/>
      <c r="I83" s="2"/>
      <c r="N83" s="2"/>
      <c r="S83" s="2"/>
      <c r="X83" s="2"/>
      <c r="AB83" s="2"/>
    </row>
    <row r="84" spans="1:28" x14ac:dyDescent="0.2">
      <c r="A84" s="1"/>
      <c r="B84" s="1"/>
      <c r="C84" s="1"/>
      <c r="D84" s="3"/>
      <c r="I84" s="2"/>
      <c r="N84" s="2"/>
      <c r="S84" s="2"/>
      <c r="X84" s="2"/>
      <c r="AB84" s="2"/>
    </row>
    <row r="85" spans="1:28" x14ac:dyDescent="0.2">
      <c r="A85" s="1"/>
      <c r="B85" s="1"/>
      <c r="C85" s="1"/>
      <c r="D85" s="3"/>
      <c r="I85" s="2"/>
      <c r="N85" s="2"/>
      <c r="S85" s="2"/>
      <c r="X85" s="2"/>
      <c r="AB85" s="2"/>
    </row>
    <row r="86" spans="1:28" x14ac:dyDescent="0.2">
      <c r="A86" s="1"/>
      <c r="B86" s="1"/>
      <c r="C86" s="1"/>
      <c r="D86" s="3"/>
      <c r="I86" s="2"/>
      <c r="N86" s="2"/>
      <c r="S86" s="2"/>
      <c r="X86" s="2"/>
      <c r="AB86" s="2"/>
    </row>
    <row r="87" spans="1:28" x14ac:dyDescent="0.2">
      <c r="A87" s="1"/>
      <c r="B87" s="1"/>
      <c r="C87" s="1"/>
      <c r="D87" s="3"/>
      <c r="I87" s="2"/>
      <c r="N87" s="2"/>
      <c r="S87" s="2"/>
      <c r="X87" s="2"/>
      <c r="AB87" s="2"/>
    </row>
    <row r="88" spans="1:28" x14ac:dyDescent="0.2">
      <c r="A88" s="1"/>
      <c r="B88" s="1"/>
      <c r="C88" s="1"/>
      <c r="D88" s="3"/>
      <c r="I88" s="2"/>
      <c r="N88" s="2"/>
      <c r="S88" s="2"/>
      <c r="X88" s="2"/>
      <c r="AB88" s="2"/>
    </row>
    <row r="89" spans="1:28" x14ac:dyDescent="0.2">
      <c r="A89" s="1"/>
      <c r="B89" s="1"/>
      <c r="C89" s="1"/>
      <c r="D89" s="3"/>
      <c r="I89" s="2"/>
      <c r="N89" s="2"/>
      <c r="S89" s="2"/>
      <c r="X89" s="2"/>
      <c r="AB89" s="2"/>
    </row>
    <row r="90" spans="1:28" x14ac:dyDescent="0.2">
      <c r="A90" s="1"/>
      <c r="B90" s="1"/>
      <c r="C90" s="1"/>
      <c r="D90" s="3"/>
      <c r="I90" s="2"/>
      <c r="N90" s="2"/>
      <c r="S90" s="2"/>
      <c r="X90" s="2"/>
      <c r="AB90" s="2"/>
    </row>
    <row r="91" spans="1:28" x14ac:dyDescent="0.2">
      <c r="A91" s="1"/>
      <c r="B91" s="1"/>
      <c r="C91" s="1"/>
      <c r="D91" s="3"/>
      <c r="I91" s="2"/>
      <c r="N91" s="2"/>
      <c r="S91" s="2"/>
      <c r="X91" s="2"/>
      <c r="AB91" s="2"/>
    </row>
    <row r="92" spans="1:28" x14ac:dyDescent="0.2">
      <c r="A92" s="1"/>
      <c r="B92" s="1"/>
      <c r="C92" s="1"/>
      <c r="D92" s="3"/>
      <c r="I92" s="2"/>
      <c r="N92" s="2"/>
      <c r="S92" s="2"/>
      <c r="X92" s="2"/>
      <c r="AB92" s="2"/>
    </row>
    <row r="93" spans="1:28" x14ac:dyDescent="0.2">
      <c r="A93" s="1"/>
      <c r="B93" s="1"/>
      <c r="C93" s="1"/>
      <c r="D93" s="3"/>
      <c r="I93" s="2"/>
      <c r="N93" s="2"/>
      <c r="S93" s="2"/>
      <c r="X93" s="2"/>
      <c r="AB93" s="2"/>
    </row>
    <row r="94" spans="1:28" x14ac:dyDescent="0.2">
      <c r="A94" s="1"/>
      <c r="B94" s="1"/>
      <c r="C94" s="1"/>
      <c r="D94" s="3"/>
      <c r="I94" s="2"/>
      <c r="N94" s="2"/>
      <c r="S94" s="2"/>
      <c r="X94" s="2"/>
      <c r="AB94" s="2"/>
    </row>
    <row r="95" spans="1:28" x14ac:dyDescent="0.2">
      <c r="A95" s="1"/>
      <c r="B95" s="1"/>
      <c r="C95" s="1"/>
      <c r="D95" s="3"/>
      <c r="I95" s="2"/>
      <c r="N95" s="2"/>
      <c r="S95" s="2"/>
      <c r="X95" s="2"/>
      <c r="AB95" s="2"/>
    </row>
    <row r="96" spans="1:28" x14ac:dyDescent="0.2">
      <c r="A96" s="1"/>
      <c r="B96" s="1"/>
      <c r="C96" s="1"/>
      <c r="D96" s="3"/>
      <c r="I96" s="2"/>
      <c r="N96" s="2"/>
      <c r="S96" s="2"/>
      <c r="X96" s="2"/>
      <c r="AB96" s="2"/>
    </row>
    <row r="97" spans="1:28" x14ac:dyDescent="0.2">
      <c r="A97" s="1"/>
      <c r="B97" s="1"/>
      <c r="C97" s="1"/>
      <c r="D97" s="3"/>
      <c r="I97" s="2"/>
      <c r="N97" s="2"/>
      <c r="S97" s="2"/>
      <c r="X97" s="2"/>
      <c r="AB97" s="2"/>
    </row>
    <row r="98" spans="1:28" x14ac:dyDescent="0.2">
      <c r="A98" s="1"/>
      <c r="B98" s="1"/>
      <c r="C98" s="1"/>
      <c r="D98" s="3"/>
      <c r="I98" s="2"/>
      <c r="N98" s="2"/>
      <c r="S98" s="2"/>
      <c r="X98" s="2"/>
      <c r="AB98" s="2"/>
    </row>
    <row r="99" spans="1:28" x14ac:dyDescent="0.2">
      <c r="A99" s="1"/>
      <c r="B99" s="1"/>
      <c r="C99" s="1"/>
      <c r="D99" s="3"/>
      <c r="I99" s="2"/>
      <c r="N99" s="2"/>
      <c r="S99" s="2"/>
      <c r="X99" s="2"/>
      <c r="AB99" s="2"/>
    </row>
    <row r="100" spans="1:28" x14ac:dyDescent="0.2">
      <c r="A100" s="1"/>
      <c r="B100" s="1"/>
      <c r="C100" s="1"/>
      <c r="D100" s="3"/>
      <c r="I100" s="2"/>
      <c r="N100" s="2"/>
      <c r="S100" s="2"/>
      <c r="X100" s="2"/>
      <c r="AB100" s="2"/>
    </row>
    <row r="101" spans="1:28" x14ac:dyDescent="0.2">
      <c r="A101" s="1"/>
      <c r="B101" s="1"/>
      <c r="C101" s="1"/>
      <c r="D101" s="3"/>
      <c r="I101" s="2"/>
      <c r="N101" s="2"/>
      <c r="S101" s="2"/>
      <c r="X101" s="2"/>
      <c r="AB101" s="2"/>
    </row>
    <row r="102" spans="1:28" x14ac:dyDescent="0.2">
      <c r="A102" s="1"/>
      <c r="B102" s="1"/>
      <c r="C102" s="1"/>
      <c r="D102" s="3"/>
      <c r="I102" s="2"/>
      <c r="N102" s="2"/>
      <c r="S102" s="2"/>
      <c r="X102" s="2"/>
      <c r="AB102" s="2"/>
    </row>
    <row r="103" spans="1:28" x14ac:dyDescent="0.2">
      <c r="A103" s="1"/>
      <c r="B103" s="1"/>
      <c r="C103" s="1"/>
      <c r="D103" s="3"/>
      <c r="I103" s="2"/>
      <c r="N103" s="2"/>
      <c r="S103" s="2"/>
      <c r="X103" s="2"/>
      <c r="AB103" s="2"/>
    </row>
    <row r="104" spans="1:28" x14ac:dyDescent="0.2">
      <c r="A104" s="1"/>
      <c r="B104" s="1"/>
      <c r="C104" s="1"/>
      <c r="D104" s="3"/>
      <c r="I104" s="2"/>
      <c r="N104" s="2"/>
      <c r="S104" s="2"/>
      <c r="X104" s="2"/>
      <c r="AB104" s="2"/>
    </row>
    <row r="105" spans="1:28" x14ac:dyDescent="0.2">
      <c r="A105" s="1"/>
      <c r="B105" s="1"/>
      <c r="C105" s="1"/>
      <c r="D105" s="3"/>
      <c r="I105" s="2"/>
      <c r="N105" s="2"/>
      <c r="S105" s="2"/>
      <c r="X105" s="2"/>
      <c r="AB105" s="2"/>
    </row>
    <row r="106" spans="1:28" x14ac:dyDescent="0.2">
      <c r="A106" s="1"/>
      <c r="B106" s="1"/>
      <c r="C106" s="1"/>
      <c r="D106" s="3"/>
      <c r="I106" s="2"/>
      <c r="N106" s="2"/>
      <c r="S106" s="2"/>
      <c r="X106" s="2"/>
      <c r="AB106" s="2"/>
    </row>
    <row r="107" spans="1:28" x14ac:dyDescent="0.2">
      <c r="A107" s="1"/>
      <c r="B107" s="1"/>
      <c r="C107" s="1"/>
      <c r="D107" s="3"/>
      <c r="I107" s="2"/>
      <c r="N107" s="2"/>
      <c r="S107" s="2"/>
      <c r="X107" s="2"/>
      <c r="AB107" s="2"/>
    </row>
    <row r="108" spans="1:28" x14ac:dyDescent="0.2">
      <c r="A108" s="1"/>
      <c r="B108" s="1"/>
      <c r="C108" s="1"/>
      <c r="D108" s="3"/>
      <c r="I108" s="2"/>
      <c r="N108" s="2"/>
      <c r="S108" s="2"/>
      <c r="X108" s="2"/>
      <c r="AB108" s="2"/>
    </row>
    <row r="109" spans="1:28" x14ac:dyDescent="0.2">
      <c r="A109" s="1"/>
      <c r="B109" s="1"/>
      <c r="C109" s="1"/>
      <c r="D109" s="3"/>
      <c r="I109" s="2"/>
      <c r="N109" s="2"/>
      <c r="S109" s="2"/>
      <c r="X109" s="2"/>
      <c r="AB109" s="2"/>
    </row>
    <row r="110" spans="1:28" x14ac:dyDescent="0.2">
      <c r="A110" s="1"/>
      <c r="B110" s="1"/>
      <c r="C110" s="1"/>
      <c r="D110" s="3"/>
      <c r="I110" s="2"/>
      <c r="N110" s="2"/>
      <c r="S110" s="2"/>
      <c r="X110" s="2"/>
      <c r="AB110" s="2"/>
    </row>
    <row r="111" spans="1:28" x14ac:dyDescent="0.2">
      <c r="A111" s="1"/>
      <c r="B111" s="1"/>
      <c r="C111" s="1"/>
      <c r="D111" s="3"/>
      <c r="I111" s="2"/>
      <c r="N111" s="2"/>
      <c r="S111" s="2"/>
      <c r="X111" s="2"/>
      <c r="AB111" s="2"/>
    </row>
    <row r="112" spans="1:28" x14ac:dyDescent="0.2">
      <c r="A112" s="1"/>
      <c r="B112" s="1"/>
      <c r="C112" s="1"/>
      <c r="D112" s="3"/>
      <c r="I112" s="2"/>
      <c r="N112" s="2"/>
      <c r="S112" s="2"/>
      <c r="X112" s="2"/>
      <c r="AB112" s="2"/>
    </row>
    <row r="113" spans="1:28" x14ac:dyDescent="0.2">
      <c r="A113" s="1"/>
      <c r="B113" s="1"/>
      <c r="C113" s="1"/>
      <c r="D113" s="3"/>
      <c r="I113" s="2"/>
      <c r="N113" s="2"/>
      <c r="S113" s="2"/>
      <c r="X113" s="2"/>
      <c r="AB113" s="2"/>
    </row>
    <row r="114" spans="1:28" x14ac:dyDescent="0.2">
      <c r="A114" s="1"/>
      <c r="B114" s="1"/>
      <c r="C114" s="1"/>
      <c r="D114" s="3"/>
      <c r="I114" s="2"/>
      <c r="N114" s="2"/>
      <c r="S114" s="2"/>
      <c r="X114" s="2"/>
      <c r="AB114" s="2"/>
    </row>
    <row r="115" spans="1:28" x14ac:dyDescent="0.2">
      <c r="A115" s="1"/>
      <c r="B115" s="1"/>
      <c r="C115" s="1"/>
      <c r="D115" s="3"/>
      <c r="I115" s="2"/>
      <c r="N115" s="2"/>
      <c r="S115" s="2"/>
      <c r="X115" s="2"/>
      <c r="AB115" s="2"/>
    </row>
    <row r="116" spans="1:28" x14ac:dyDescent="0.2">
      <c r="A116" s="1"/>
      <c r="B116" s="1"/>
      <c r="C116" s="1"/>
      <c r="D116" s="3"/>
      <c r="I116" s="2"/>
      <c r="N116" s="2"/>
      <c r="S116" s="2"/>
      <c r="X116" s="2"/>
      <c r="AB116" s="2"/>
    </row>
    <row r="117" spans="1:28" x14ac:dyDescent="0.2">
      <c r="A117" s="1"/>
      <c r="B117" s="1"/>
      <c r="C117" s="1"/>
      <c r="D117" s="3"/>
      <c r="I117" s="2"/>
      <c r="N117" s="2"/>
      <c r="S117" s="2"/>
      <c r="X117" s="2"/>
      <c r="AB117" s="2"/>
    </row>
    <row r="118" spans="1:28" x14ac:dyDescent="0.2">
      <c r="A118" s="1"/>
      <c r="B118" s="1"/>
      <c r="C118" s="1"/>
      <c r="D118" s="3"/>
      <c r="I118" s="2"/>
      <c r="N118" s="2"/>
      <c r="S118" s="2"/>
      <c r="X118" s="2"/>
      <c r="AB118" s="2"/>
    </row>
    <row r="119" spans="1:28" x14ac:dyDescent="0.2">
      <c r="A119" s="1"/>
      <c r="B119" s="1"/>
      <c r="C119" s="1"/>
      <c r="D119" s="3"/>
      <c r="I119" s="2"/>
      <c r="N119" s="2"/>
      <c r="S119" s="2"/>
      <c r="X119" s="2"/>
      <c r="AB119" s="2"/>
    </row>
    <row r="120" spans="1:28" x14ac:dyDescent="0.2">
      <c r="A120" s="1"/>
      <c r="B120" s="1"/>
      <c r="C120" s="1"/>
      <c r="D120" s="3"/>
      <c r="I120" s="2"/>
      <c r="N120" s="2"/>
      <c r="S120" s="2"/>
      <c r="X120" s="2"/>
      <c r="AB120" s="2"/>
    </row>
    <row r="121" spans="1:28" x14ac:dyDescent="0.2">
      <c r="A121" s="1"/>
      <c r="B121" s="1"/>
      <c r="C121" s="1"/>
      <c r="D121" s="3"/>
      <c r="I121" s="2"/>
      <c r="N121" s="2"/>
      <c r="S121" s="2"/>
      <c r="X121" s="2"/>
      <c r="AB121" s="2"/>
    </row>
    <row r="122" spans="1:28" x14ac:dyDescent="0.2">
      <c r="A122" s="1"/>
      <c r="B122" s="1"/>
      <c r="C122" s="1"/>
      <c r="D122" s="3"/>
      <c r="I122" s="2"/>
      <c r="N122" s="2"/>
      <c r="S122" s="2"/>
      <c r="X122" s="2"/>
      <c r="AB122" s="2"/>
    </row>
    <row r="123" spans="1:28" x14ac:dyDescent="0.2">
      <c r="A123" s="1"/>
      <c r="B123" s="1"/>
      <c r="C123" s="1"/>
      <c r="D123" s="3"/>
      <c r="I123" s="2"/>
      <c r="N123" s="2"/>
      <c r="S123" s="2"/>
      <c r="X123" s="2"/>
      <c r="AB123" s="2"/>
    </row>
    <row r="124" spans="1:28" x14ac:dyDescent="0.2">
      <c r="A124" s="1"/>
      <c r="B124" s="1"/>
      <c r="C124" s="1"/>
      <c r="D124" s="3"/>
      <c r="I124" s="2"/>
      <c r="N124" s="2"/>
      <c r="S124" s="2"/>
      <c r="X124" s="2"/>
      <c r="AB124" s="2"/>
    </row>
    <row r="125" spans="1:28" x14ac:dyDescent="0.2">
      <c r="A125" s="1"/>
      <c r="B125" s="1"/>
      <c r="C125" s="1"/>
      <c r="D125" s="3"/>
      <c r="I125" s="2"/>
      <c r="N125" s="2"/>
      <c r="S125" s="2"/>
      <c r="X125" s="2"/>
      <c r="AB125" s="2"/>
    </row>
    <row r="126" spans="1:28" x14ac:dyDescent="0.2">
      <c r="A126" s="1"/>
      <c r="B126" s="1"/>
      <c r="C126" s="1"/>
      <c r="D126" s="3"/>
      <c r="I126" s="2"/>
      <c r="N126" s="2"/>
      <c r="S126" s="2"/>
      <c r="X126" s="2"/>
      <c r="AB126" s="2"/>
    </row>
    <row r="127" spans="1:28" x14ac:dyDescent="0.2">
      <c r="A127" s="1"/>
      <c r="B127" s="1"/>
      <c r="C127" s="1"/>
      <c r="D127" s="3"/>
      <c r="I127" s="2"/>
      <c r="N127" s="2"/>
      <c r="S127" s="2"/>
      <c r="X127" s="2"/>
      <c r="AB127" s="2"/>
    </row>
    <row r="128" spans="1:28" x14ac:dyDescent="0.2">
      <c r="A128" s="1"/>
      <c r="B128" s="1"/>
      <c r="C128" s="1"/>
      <c r="D128" s="3"/>
      <c r="I128" s="2"/>
      <c r="N128" s="2"/>
      <c r="S128" s="2"/>
      <c r="X128" s="2"/>
      <c r="AB128" s="2"/>
    </row>
    <row r="129" spans="1:28" x14ac:dyDescent="0.2">
      <c r="A129" s="1"/>
      <c r="B129" s="1"/>
      <c r="C129" s="1"/>
      <c r="D129" s="3"/>
      <c r="I129" s="2"/>
      <c r="N129" s="2"/>
      <c r="S129" s="2"/>
      <c r="X129" s="2"/>
      <c r="AB129" s="2"/>
    </row>
    <row r="130" spans="1:28" x14ac:dyDescent="0.2">
      <c r="A130" s="1"/>
      <c r="B130" s="1"/>
      <c r="C130" s="1"/>
      <c r="D130" s="3"/>
      <c r="I130" s="2"/>
      <c r="N130" s="2"/>
      <c r="S130" s="2"/>
      <c r="X130" s="2"/>
      <c r="AB130" s="2"/>
    </row>
    <row r="131" spans="1:28" x14ac:dyDescent="0.2">
      <c r="A131" s="1"/>
      <c r="B131" s="1"/>
      <c r="C131" s="1"/>
      <c r="D131" s="3"/>
      <c r="I131" s="2"/>
      <c r="N131" s="2"/>
      <c r="S131" s="2"/>
      <c r="X131" s="2"/>
      <c r="AB131" s="2"/>
    </row>
    <row r="132" spans="1:28" x14ac:dyDescent="0.2">
      <c r="A132" s="1"/>
      <c r="B132" s="1"/>
      <c r="C132" s="1"/>
      <c r="D132" s="3"/>
      <c r="I132" s="2"/>
      <c r="N132" s="2"/>
      <c r="S132" s="2"/>
      <c r="X132" s="2"/>
      <c r="AB132" s="2"/>
    </row>
    <row r="133" spans="1:28" x14ac:dyDescent="0.2">
      <c r="A133" s="1"/>
      <c r="B133" s="1"/>
      <c r="C133" s="1"/>
      <c r="D133" s="3"/>
      <c r="I133" s="2"/>
      <c r="N133" s="2"/>
      <c r="S133" s="2"/>
      <c r="X133" s="2"/>
      <c r="AB133" s="2"/>
    </row>
    <row r="134" spans="1:28" x14ac:dyDescent="0.2">
      <c r="A134" s="1"/>
      <c r="B134" s="1"/>
      <c r="C134" s="1"/>
      <c r="D134" s="3"/>
      <c r="I134" s="2"/>
      <c r="N134" s="2"/>
      <c r="S134" s="2"/>
      <c r="X134" s="2"/>
      <c r="AB134" s="2"/>
    </row>
    <row r="135" spans="1:28" x14ac:dyDescent="0.2">
      <c r="A135" s="1"/>
      <c r="B135" s="1"/>
      <c r="C135" s="1"/>
      <c r="D135" s="3"/>
      <c r="I135" s="2"/>
      <c r="N135" s="2"/>
      <c r="S135" s="2"/>
      <c r="X135" s="2"/>
      <c r="AB135" s="2"/>
    </row>
    <row r="136" spans="1:28" x14ac:dyDescent="0.2">
      <c r="A136" s="1"/>
      <c r="B136" s="1"/>
      <c r="C136" s="1"/>
      <c r="D136" s="3"/>
      <c r="I136" s="2"/>
      <c r="N136" s="2"/>
      <c r="S136" s="2"/>
      <c r="X136" s="2"/>
      <c r="AB136" s="2"/>
    </row>
    <row r="137" spans="1:28" x14ac:dyDescent="0.2">
      <c r="A137" s="1"/>
      <c r="B137" s="1"/>
      <c r="C137" s="1"/>
      <c r="D137" s="3"/>
      <c r="I137" s="2"/>
      <c r="N137" s="2"/>
      <c r="S137" s="2"/>
      <c r="X137" s="2"/>
      <c r="AB137" s="2"/>
    </row>
    <row r="138" spans="1:28" x14ac:dyDescent="0.2">
      <c r="A138" s="1"/>
      <c r="B138" s="1"/>
      <c r="C138" s="1"/>
      <c r="D138" s="3"/>
      <c r="I138" s="2"/>
      <c r="N138" s="2"/>
      <c r="S138" s="2"/>
      <c r="X138" s="2"/>
      <c r="AB138" s="2"/>
    </row>
    <row r="139" spans="1:28" x14ac:dyDescent="0.2">
      <c r="A139" s="1"/>
      <c r="B139" s="1"/>
      <c r="C139" s="1"/>
      <c r="D139" s="3"/>
      <c r="I139" s="2"/>
      <c r="N139" s="2"/>
      <c r="S139" s="2"/>
      <c r="X139" s="2"/>
      <c r="AB139" s="2"/>
    </row>
    <row r="140" spans="1:28" x14ac:dyDescent="0.2">
      <c r="A140" s="1"/>
      <c r="B140" s="1"/>
      <c r="C140" s="1"/>
      <c r="D140" s="3"/>
      <c r="I140" s="2"/>
      <c r="N140" s="2"/>
      <c r="S140" s="2"/>
      <c r="X140" s="2"/>
      <c r="AB140" s="2"/>
    </row>
    <row r="141" spans="1:28" x14ac:dyDescent="0.2">
      <c r="A141" s="1"/>
      <c r="B141" s="1"/>
      <c r="C141" s="1"/>
      <c r="D141" s="3"/>
      <c r="I141" s="2"/>
      <c r="N141" s="2"/>
      <c r="S141" s="2"/>
      <c r="X141" s="2"/>
      <c r="AB141" s="2"/>
    </row>
    <row r="142" spans="1:28" x14ac:dyDescent="0.2">
      <c r="A142" s="1"/>
      <c r="B142" s="1"/>
      <c r="C142" s="1"/>
      <c r="D142" s="3"/>
      <c r="I142" s="2"/>
      <c r="N142" s="2"/>
      <c r="S142" s="2"/>
      <c r="X142" s="2"/>
      <c r="AB142" s="2"/>
    </row>
    <row r="143" spans="1:28" x14ac:dyDescent="0.2">
      <c r="A143" s="1"/>
      <c r="B143" s="1"/>
      <c r="C143" s="1"/>
      <c r="D143" s="3"/>
      <c r="I143" s="2"/>
      <c r="N143" s="2"/>
      <c r="S143" s="2"/>
      <c r="X143" s="2"/>
      <c r="AB143" s="2"/>
    </row>
    <row r="144" spans="1:28" x14ac:dyDescent="0.2">
      <c r="A144" s="1"/>
      <c r="B144" s="1"/>
      <c r="C144" s="1"/>
      <c r="D144" s="3"/>
      <c r="I144" s="2"/>
      <c r="N144" s="2"/>
      <c r="S144" s="2"/>
      <c r="X144" s="2"/>
      <c r="AB144" s="2"/>
    </row>
    <row r="145" spans="1:28" x14ac:dyDescent="0.2">
      <c r="A145" s="1"/>
      <c r="B145" s="1"/>
      <c r="C145" s="1"/>
      <c r="D145" s="3"/>
      <c r="I145" s="2"/>
      <c r="N145" s="2"/>
      <c r="S145" s="2"/>
      <c r="X145" s="2"/>
      <c r="AB145" s="2"/>
    </row>
    <row r="146" spans="1:28" x14ac:dyDescent="0.2">
      <c r="A146" s="1"/>
      <c r="B146" s="1"/>
      <c r="C146" s="1"/>
      <c r="D146" s="3"/>
      <c r="I146" s="2"/>
      <c r="N146" s="2"/>
      <c r="S146" s="2"/>
      <c r="X146" s="2"/>
      <c r="AB146" s="2"/>
    </row>
    <row r="147" spans="1:28" x14ac:dyDescent="0.2">
      <c r="A147" s="1"/>
      <c r="B147" s="1"/>
      <c r="C147" s="1"/>
      <c r="D147" s="3"/>
      <c r="I147" s="2"/>
      <c r="N147" s="2"/>
      <c r="S147" s="2"/>
      <c r="X147" s="2"/>
      <c r="AB147" s="2"/>
    </row>
    <row r="148" spans="1:28" x14ac:dyDescent="0.2">
      <c r="A148" s="1"/>
      <c r="B148" s="1"/>
      <c r="C148" s="1"/>
      <c r="D148" s="3"/>
      <c r="I148" s="2"/>
      <c r="N148" s="2"/>
      <c r="S148" s="2"/>
      <c r="X148" s="2"/>
      <c r="AB148" s="2"/>
    </row>
    <row r="149" spans="1:28" x14ac:dyDescent="0.2">
      <c r="A149" s="1"/>
      <c r="B149" s="1"/>
      <c r="C149" s="1"/>
      <c r="D149" s="3"/>
      <c r="I149" s="2"/>
      <c r="N149" s="2"/>
      <c r="S149" s="2"/>
      <c r="X149" s="2"/>
      <c r="AB149" s="2"/>
    </row>
    <row r="150" spans="1:28" x14ac:dyDescent="0.2">
      <c r="A150" s="1"/>
      <c r="B150" s="1"/>
      <c r="C150" s="1"/>
      <c r="D150" s="3"/>
      <c r="I150" s="2"/>
      <c r="N150" s="2"/>
      <c r="S150" s="2"/>
      <c r="X150" s="2"/>
      <c r="AB150" s="2"/>
    </row>
    <row r="151" spans="1:28" x14ac:dyDescent="0.2">
      <c r="A151" s="1"/>
      <c r="B151" s="1"/>
      <c r="C151" s="1"/>
      <c r="D151" s="3"/>
      <c r="I151" s="2"/>
      <c r="N151" s="2"/>
      <c r="S151" s="2"/>
      <c r="X151" s="2"/>
      <c r="AB151" s="2"/>
    </row>
    <row r="152" spans="1:28" x14ac:dyDescent="0.2">
      <c r="A152" s="1"/>
      <c r="B152" s="1"/>
      <c r="C152" s="1"/>
      <c r="D152" s="3"/>
      <c r="I152" s="2"/>
      <c r="N152" s="2"/>
      <c r="S152" s="2"/>
      <c r="X152" s="2"/>
      <c r="AB152" s="2"/>
    </row>
    <row r="153" spans="1:28" x14ac:dyDescent="0.2">
      <c r="A153" s="1"/>
      <c r="B153" s="1"/>
      <c r="C153" s="1"/>
      <c r="D153" s="3"/>
      <c r="I153" s="2"/>
      <c r="N153" s="2"/>
      <c r="S153" s="2"/>
      <c r="X153" s="2"/>
      <c r="AB153" s="2"/>
    </row>
    <row r="154" spans="1:28" x14ac:dyDescent="0.2">
      <c r="A154" s="1"/>
      <c r="B154" s="1"/>
      <c r="C154" s="1"/>
      <c r="D154" s="3"/>
      <c r="I154" s="2"/>
      <c r="N154" s="2"/>
      <c r="S154" s="2"/>
      <c r="X154" s="2"/>
      <c r="AB154" s="2"/>
    </row>
    <row r="155" spans="1:28" x14ac:dyDescent="0.2">
      <c r="A155" s="1"/>
      <c r="B155" s="1"/>
      <c r="C155" s="1"/>
      <c r="D155" s="3"/>
      <c r="I155" s="2"/>
      <c r="N155" s="2"/>
      <c r="S155" s="2"/>
      <c r="X155" s="2"/>
      <c r="AB155" s="2"/>
    </row>
    <row r="156" spans="1:28" x14ac:dyDescent="0.2">
      <c r="A156" s="1"/>
      <c r="B156" s="1"/>
      <c r="C156" s="1"/>
      <c r="D156" s="3"/>
      <c r="I156" s="2"/>
      <c r="N156" s="2"/>
      <c r="S156" s="2"/>
      <c r="X156" s="2"/>
      <c r="AB156" s="2"/>
    </row>
    <row r="157" spans="1:28" x14ac:dyDescent="0.2">
      <c r="A157" s="1"/>
      <c r="B157" s="1"/>
      <c r="C157" s="1"/>
      <c r="D157" s="3"/>
      <c r="I157" s="2"/>
      <c r="N157" s="2"/>
      <c r="S157" s="2"/>
      <c r="X157" s="2"/>
      <c r="AB157" s="2"/>
    </row>
    <row r="158" spans="1:28" x14ac:dyDescent="0.2">
      <c r="A158" s="1"/>
      <c r="B158" s="1"/>
      <c r="C158" s="1"/>
      <c r="D158" s="3"/>
      <c r="I158" s="2"/>
      <c r="N158" s="2"/>
      <c r="S158" s="2"/>
      <c r="X158" s="2"/>
      <c r="AB158" s="2"/>
    </row>
    <row r="159" spans="1:28" x14ac:dyDescent="0.2">
      <c r="A159" s="1"/>
      <c r="B159" s="1"/>
      <c r="C159" s="1"/>
      <c r="D159" s="3"/>
      <c r="I159" s="2"/>
      <c r="N159" s="2"/>
      <c r="S159" s="2"/>
      <c r="X159" s="2"/>
      <c r="AB159" s="2"/>
    </row>
    <row r="160" spans="1:28" x14ac:dyDescent="0.2">
      <c r="A160" s="1"/>
      <c r="B160" s="1"/>
      <c r="C160" s="1"/>
      <c r="D160" s="3"/>
      <c r="I160" s="2"/>
      <c r="N160" s="2"/>
      <c r="S160" s="2"/>
      <c r="X160" s="2"/>
      <c r="AB160" s="2"/>
    </row>
    <row r="161" spans="1:28" x14ac:dyDescent="0.2">
      <c r="A161" s="1"/>
      <c r="B161" s="1"/>
      <c r="C161" s="1"/>
      <c r="D161" s="3"/>
      <c r="I161" s="2"/>
      <c r="N161" s="2"/>
      <c r="S161" s="2"/>
      <c r="X161" s="2"/>
      <c r="AB161" s="2"/>
    </row>
    <row r="162" spans="1:28" x14ac:dyDescent="0.2">
      <c r="A162" s="1"/>
      <c r="B162" s="1"/>
      <c r="C162" s="1"/>
      <c r="D162" s="3"/>
      <c r="I162" s="2"/>
      <c r="N162" s="2"/>
      <c r="S162" s="2"/>
      <c r="X162" s="2"/>
      <c r="AB162" s="2"/>
    </row>
    <row r="163" spans="1:28" x14ac:dyDescent="0.2">
      <c r="A163" s="1"/>
      <c r="B163" s="1"/>
      <c r="C163" s="1"/>
      <c r="D163" s="3"/>
      <c r="I163" s="2"/>
      <c r="N163" s="2"/>
      <c r="S163" s="2"/>
      <c r="X163" s="2"/>
      <c r="AB163" s="2"/>
    </row>
    <row r="164" spans="1:28" x14ac:dyDescent="0.2">
      <c r="A164" s="1"/>
      <c r="B164" s="1"/>
      <c r="C164" s="1"/>
      <c r="D164" s="3"/>
      <c r="I164" s="2"/>
      <c r="N164" s="2"/>
      <c r="S164" s="2"/>
      <c r="X164" s="2"/>
      <c r="AB164" s="2"/>
    </row>
    <row r="165" spans="1:28" x14ac:dyDescent="0.2">
      <c r="A165" s="1"/>
      <c r="B165" s="1"/>
      <c r="C165" s="1"/>
      <c r="D165" s="3"/>
      <c r="I165" s="2"/>
      <c r="N165" s="2"/>
      <c r="S165" s="2"/>
      <c r="X165" s="2"/>
      <c r="AB165" s="2"/>
    </row>
    <row r="166" spans="1:28" x14ac:dyDescent="0.2">
      <c r="A166" s="1"/>
      <c r="B166" s="1"/>
      <c r="C166" s="1"/>
      <c r="D166" s="3"/>
      <c r="I166" s="2"/>
      <c r="N166" s="2"/>
      <c r="S166" s="2"/>
      <c r="X166" s="2"/>
      <c r="AB166" s="2"/>
    </row>
    <row r="167" spans="1:28" x14ac:dyDescent="0.2">
      <c r="A167" s="1"/>
      <c r="B167" s="1"/>
      <c r="C167" s="1"/>
      <c r="D167" s="3"/>
      <c r="I167" s="2"/>
      <c r="N167" s="2"/>
      <c r="S167" s="2"/>
      <c r="X167" s="2"/>
      <c r="AB167" s="2"/>
    </row>
    <row r="168" spans="1:28" x14ac:dyDescent="0.2">
      <c r="A168" s="1"/>
      <c r="B168" s="1"/>
      <c r="C168" s="1"/>
      <c r="D168" s="3"/>
      <c r="I168" s="2"/>
      <c r="N168" s="2"/>
      <c r="S168" s="2"/>
      <c r="X168" s="2"/>
      <c r="AB168" s="2"/>
    </row>
    <row r="169" spans="1:28" x14ac:dyDescent="0.2">
      <c r="A169" s="1"/>
      <c r="B169" s="1"/>
      <c r="C169" s="1"/>
      <c r="D169" s="3"/>
      <c r="I169" s="2"/>
      <c r="N169" s="2"/>
      <c r="S169" s="2"/>
      <c r="X169" s="2"/>
      <c r="AB169" s="2"/>
    </row>
    <row r="170" spans="1:28" x14ac:dyDescent="0.2">
      <c r="A170" s="1"/>
      <c r="B170" s="1"/>
      <c r="C170" s="1"/>
      <c r="D170" s="3"/>
      <c r="I170" s="2"/>
      <c r="N170" s="2"/>
      <c r="S170" s="2"/>
      <c r="X170" s="2"/>
      <c r="AB170" s="2"/>
    </row>
    <row r="171" spans="1:28" x14ac:dyDescent="0.2">
      <c r="A171" s="1"/>
      <c r="B171" s="1"/>
      <c r="C171" s="1"/>
      <c r="D171" s="3"/>
      <c r="I171" s="2"/>
      <c r="N171" s="2"/>
      <c r="S171" s="2"/>
      <c r="X171" s="2"/>
      <c r="AB171" s="2"/>
    </row>
    <row r="172" spans="1:28" x14ac:dyDescent="0.2">
      <c r="A172" s="1"/>
      <c r="B172" s="1"/>
      <c r="C172" s="1"/>
      <c r="D172" s="3"/>
      <c r="I172" s="2"/>
      <c r="N172" s="2"/>
      <c r="S172" s="2"/>
      <c r="X172" s="2"/>
      <c r="AB172" s="2"/>
    </row>
    <row r="173" spans="1:28" x14ac:dyDescent="0.2">
      <c r="A173" s="1"/>
      <c r="B173" s="1"/>
      <c r="C173" s="1"/>
      <c r="D173" s="3"/>
      <c r="I173" s="2"/>
      <c r="N173" s="2"/>
      <c r="S173" s="2"/>
      <c r="X173" s="2"/>
      <c r="AB173" s="2"/>
    </row>
    <row r="174" spans="1:28" x14ac:dyDescent="0.2">
      <c r="A174" s="1"/>
      <c r="B174" s="1"/>
      <c r="C174" s="1"/>
      <c r="D174" s="3"/>
      <c r="I174" s="2"/>
      <c r="N174" s="2"/>
      <c r="S174" s="2"/>
      <c r="X174" s="2"/>
      <c r="AB174" s="2"/>
    </row>
    <row r="175" spans="1:28" x14ac:dyDescent="0.2">
      <c r="A175" s="1"/>
      <c r="B175" s="1"/>
      <c r="C175" s="1"/>
      <c r="D175" s="3"/>
      <c r="I175" s="2"/>
      <c r="N175" s="2"/>
      <c r="S175" s="2"/>
      <c r="X175" s="2"/>
      <c r="AB175" s="2"/>
    </row>
    <row r="176" spans="1:28" x14ac:dyDescent="0.2">
      <c r="A176" s="1"/>
      <c r="B176" s="1"/>
      <c r="C176" s="1"/>
      <c r="D176" s="3"/>
      <c r="I176" s="2"/>
      <c r="N176" s="2"/>
      <c r="S176" s="2"/>
      <c r="X176" s="2"/>
      <c r="AB176" s="2"/>
    </row>
    <row r="177" spans="1:28" x14ac:dyDescent="0.2">
      <c r="A177" s="1"/>
      <c r="B177" s="1"/>
      <c r="C177" s="1"/>
      <c r="D177" s="3"/>
      <c r="I177" s="2"/>
      <c r="N177" s="2"/>
      <c r="S177" s="2"/>
      <c r="X177" s="2"/>
      <c r="AB177" s="2"/>
    </row>
    <row r="178" spans="1:28" x14ac:dyDescent="0.2">
      <c r="A178" s="1"/>
      <c r="B178" s="1"/>
      <c r="C178" s="1"/>
      <c r="D178" s="3"/>
      <c r="I178" s="2"/>
      <c r="N178" s="2"/>
      <c r="S178" s="2"/>
      <c r="X178" s="2"/>
      <c r="AB178" s="2"/>
    </row>
    <row r="179" spans="1:28" x14ac:dyDescent="0.2">
      <c r="A179" s="1"/>
      <c r="B179" s="1"/>
      <c r="C179" s="1"/>
      <c r="D179" s="3"/>
      <c r="I179" s="2"/>
      <c r="N179" s="2"/>
      <c r="S179" s="2"/>
      <c r="X179" s="2"/>
      <c r="AB179" s="2"/>
    </row>
    <row r="180" spans="1:28" x14ac:dyDescent="0.2">
      <c r="A180" s="1"/>
      <c r="B180" s="1"/>
      <c r="C180" s="1"/>
      <c r="D180" s="3"/>
      <c r="I180" s="2"/>
      <c r="N180" s="2"/>
      <c r="S180" s="2"/>
      <c r="X180" s="2"/>
      <c r="AB180" s="2"/>
    </row>
    <row r="181" spans="1:28" x14ac:dyDescent="0.2">
      <c r="A181" s="1"/>
      <c r="B181" s="1"/>
      <c r="C181" s="1"/>
      <c r="D181" s="3"/>
      <c r="I181" s="2"/>
      <c r="N181" s="2"/>
      <c r="S181" s="2"/>
      <c r="X181" s="2"/>
      <c r="AB181" s="2"/>
    </row>
    <row r="182" spans="1:28" x14ac:dyDescent="0.2">
      <c r="A182" s="1"/>
      <c r="B182" s="1"/>
      <c r="C182" s="1"/>
      <c r="D182" s="3"/>
      <c r="I182" s="2"/>
      <c r="N182" s="2"/>
      <c r="S182" s="2"/>
      <c r="X182" s="2"/>
      <c r="AB182" s="2"/>
    </row>
    <row r="183" spans="1:28" x14ac:dyDescent="0.2">
      <c r="A183" s="1"/>
      <c r="B183" s="1"/>
      <c r="C183" s="1"/>
      <c r="D183" s="3"/>
      <c r="I183" s="2"/>
      <c r="N183" s="2"/>
      <c r="S183" s="2"/>
      <c r="X183" s="2"/>
      <c r="AB183" s="2"/>
    </row>
    <row r="184" spans="1:28" x14ac:dyDescent="0.2">
      <c r="A184" s="1"/>
      <c r="B184" s="1"/>
      <c r="C184" s="1"/>
      <c r="D184" s="3"/>
      <c r="I184" s="2"/>
      <c r="N184" s="2"/>
      <c r="S184" s="2"/>
      <c r="X184" s="2"/>
      <c r="AB184" s="2"/>
    </row>
    <row r="185" spans="1:28" x14ac:dyDescent="0.2">
      <c r="A185" s="1"/>
      <c r="B185" s="1"/>
      <c r="C185" s="1"/>
      <c r="D185" s="3"/>
      <c r="I185" s="2"/>
      <c r="N185" s="2"/>
      <c r="S185" s="2"/>
      <c r="X185" s="2"/>
      <c r="AB185" s="2"/>
    </row>
    <row r="186" spans="1:28" x14ac:dyDescent="0.2">
      <c r="A186" s="1"/>
      <c r="B186" s="1"/>
      <c r="C186" s="1"/>
      <c r="D186" s="3"/>
      <c r="I186" s="2"/>
      <c r="N186" s="2"/>
      <c r="S186" s="2"/>
      <c r="X186" s="2"/>
      <c r="AB186" s="2"/>
    </row>
    <row r="187" spans="1:28" x14ac:dyDescent="0.2">
      <c r="A187" s="1"/>
      <c r="B187" s="1"/>
      <c r="C187" s="1"/>
      <c r="D187" s="3"/>
      <c r="I187" s="2"/>
      <c r="N187" s="2"/>
      <c r="S187" s="2"/>
      <c r="X187" s="2"/>
      <c r="AB187" s="2"/>
    </row>
    <row r="188" spans="1:28" x14ac:dyDescent="0.2">
      <c r="A188" s="1"/>
      <c r="B188" s="1"/>
      <c r="C188" s="1"/>
      <c r="D188" s="3"/>
      <c r="I188" s="2"/>
      <c r="N188" s="2"/>
      <c r="S188" s="2"/>
      <c r="X188" s="2"/>
      <c r="AB188" s="2"/>
    </row>
    <row r="189" spans="1:28" x14ac:dyDescent="0.2">
      <c r="A189" s="1"/>
      <c r="B189" s="1"/>
      <c r="C189" s="1"/>
      <c r="D189" s="3"/>
      <c r="I189" s="2"/>
      <c r="N189" s="2"/>
      <c r="S189" s="2"/>
      <c r="X189" s="2"/>
      <c r="AB189" s="2"/>
    </row>
    <row r="190" spans="1:28" x14ac:dyDescent="0.2">
      <c r="A190" s="1"/>
      <c r="B190" s="1"/>
      <c r="C190" s="1"/>
      <c r="D190" s="3"/>
      <c r="I190" s="2"/>
      <c r="N190" s="2"/>
      <c r="S190" s="2"/>
      <c r="X190" s="2"/>
      <c r="AB190" s="2"/>
    </row>
    <row r="191" spans="1:28" x14ac:dyDescent="0.2">
      <c r="A191" s="1"/>
      <c r="B191" s="1"/>
      <c r="C191" s="1"/>
      <c r="D191" s="3"/>
      <c r="I191" s="2"/>
      <c r="N191" s="2"/>
      <c r="S191" s="2"/>
      <c r="X191" s="2"/>
      <c r="AB191" s="2"/>
    </row>
    <row r="192" spans="1:28" x14ac:dyDescent="0.2">
      <c r="A192" s="1"/>
      <c r="B192" s="1"/>
      <c r="C192" s="1"/>
      <c r="D192" s="3"/>
      <c r="I192" s="2"/>
      <c r="N192" s="2"/>
      <c r="S192" s="2"/>
      <c r="X192" s="2"/>
      <c r="AB192" s="2"/>
    </row>
    <row r="193" spans="1:28" x14ac:dyDescent="0.2">
      <c r="A193" s="1"/>
      <c r="B193" s="1"/>
      <c r="C193" s="1"/>
      <c r="D193" s="3"/>
      <c r="I193" s="2"/>
      <c r="N193" s="2"/>
      <c r="S193" s="2"/>
      <c r="X193" s="2"/>
      <c r="AB193" s="2"/>
    </row>
    <row r="194" spans="1:28" x14ac:dyDescent="0.2">
      <c r="A194" s="1"/>
      <c r="B194" s="1"/>
      <c r="C194" s="1"/>
      <c r="D194" s="3"/>
      <c r="I194" s="2"/>
      <c r="N194" s="2"/>
      <c r="S194" s="2"/>
      <c r="X194" s="2"/>
      <c r="AB194" s="2"/>
    </row>
    <row r="195" spans="1:28" x14ac:dyDescent="0.2">
      <c r="A195" s="1"/>
      <c r="B195" s="1"/>
      <c r="C195" s="1"/>
      <c r="D195" s="3"/>
      <c r="I195" s="2"/>
      <c r="N195" s="2"/>
      <c r="S195" s="2"/>
      <c r="X195" s="2"/>
      <c r="AB195" s="2"/>
    </row>
    <row r="196" spans="1:28" x14ac:dyDescent="0.2">
      <c r="A196" s="1"/>
      <c r="B196" s="1"/>
      <c r="C196" s="1"/>
      <c r="D196" s="3"/>
      <c r="I196" s="2"/>
      <c r="N196" s="2"/>
      <c r="S196" s="2"/>
      <c r="X196" s="2"/>
      <c r="AB196" s="2"/>
    </row>
  </sheetData>
  <mergeCells count="5">
    <mergeCell ref="E1:I1"/>
    <mergeCell ref="O1:S1"/>
    <mergeCell ref="Y1:AB1"/>
    <mergeCell ref="T1:X1"/>
    <mergeCell ref="J1:N1"/>
  </mergeCells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笑天 马</cp:lastModifiedBy>
  <dcterms:modified xsi:type="dcterms:W3CDTF">2026-03-01T12:14:25Z</dcterms:modified>
</cp:coreProperties>
</file>